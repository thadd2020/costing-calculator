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Dish Costing" sheetId="2" state="visible" r:id="rId4"/>
    <sheet name="Delive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<sst xmlns="http://schemas.openxmlformats.org/spreadsheetml/2006/main" count="71" uniqueCount="66">
  <si>
    <t xml:space="preserve">GP Costing Calculator – Settings</t>
  </si>
  <si>
    <t xml:space="preserve">Blue cells on a cream fill are inputs you can change. All other sheets read from here.</t>
  </si>
  <si>
    <t xml:space="preserve">Setting</t>
  </si>
  <si>
    <t xml:space="preserve">Value</t>
  </si>
  <si>
    <t xml:space="preserve">Source / note</t>
  </si>
  <si>
    <t xml:space="preserve">VAT rate</t>
  </si>
  <si>
    <t xml:space="preserve">UK standard rate on restaurant food &amp; drink</t>
  </si>
  <si>
    <t xml:space="preserve">Target GP % – Food</t>
  </si>
  <si>
    <t xml:space="preserve">Jelly: 65–70% typical; 70% common target</t>
  </si>
  <si>
    <t xml:space="preserve">Target GP % – Drink</t>
  </si>
  <si>
    <t xml:space="preserve">Jelly: 65–75% typical</t>
  </si>
  <si>
    <t xml:space="preserve">Alert threshold (GP % below this = problem)</t>
  </si>
  <si>
    <t xml:space="preserve">Jelly: below 60% signals a pricing/cost issue</t>
  </si>
  <si>
    <t xml:space="preserve">Default delivery commission</t>
  </si>
  <si>
    <t xml:space="preserve">Deliveroo/Uber Eats ~30%; Just Eat ~14%; own site ~2%</t>
  </si>
  <si>
    <t xml:space="preserve">Default packaging cost per order (£)</t>
  </si>
  <si>
    <t xml:space="preserve">My placeholder assumption – replace with your real figure</t>
  </si>
  <si>
    <t xml:space="preserve">Benchmarks (UK, 2026)</t>
  </si>
  <si>
    <t xml:space="preserve">Category</t>
  </si>
  <si>
    <t xml:space="preserve">Target GP %</t>
  </si>
  <si>
    <t xml:space="preserve">Alert below</t>
  </si>
  <si>
    <t xml:space="preserve">Food (dine-in)</t>
  </si>
  <si>
    <t xml:space="preserve">65–70%</t>
  </si>
  <si>
    <t xml:space="preserve">60%</t>
  </si>
  <si>
    <t xml:space="preserve">Beverages</t>
  </si>
  <si>
    <t xml:space="preserve">65–75%</t>
  </si>
  <si>
    <t xml:space="preserve">Delivery (after 25–35% commission)</t>
  </si>
  <si>
    <t xml:space="preserve">35–40% effective</t>
  </si>
  <si>
    <t xml:space="preserve">30%</t>
  </si>
  <si>
    <t xml:space="preserve">Method (source: Jelly Blog, GP Margin Calculator for UK Restaurants, blog.getjelly.co.uk/gp-margin-calculator-food-beverage)</t>
  </si>
  <si>
    <t xml:space="preserve">1. Strip VAT: ex-VAT = inc-VAT ÷ 1.20 (use ex-VAT for costs and prices)</t>
  </si>
  <si>
    <t xml:space="preserve">2. True cost = ingredient cost × (1 + waste %)   [5–8% food, 1–3% sealed drinks]</t>
  </si>
  <si>
    <t xml:space="preserve">3. GP % = (ex-VAT price − true cost) ÷ ex-VAT price</t>
  </si>
  <si>
    <t xml:space="preserve">4. Price for target GP: ex-VAT price = true cost ÷ (1 − target GP %); × 1.20 for menu price</t>
  </si>
  <si>
    <t xml:space="preserve">5. Delivery price ex-VAT = (dine-in ex-VAT price + packaging) ÷ (1 − commission)</t>
  </si>
  <si>
    <t xml:space="preserve">Dish &amp; Drink Costing</t>
  </si>
  <si>
    <t xml:space="preserve">Fill the cream cells (blue text): item, type, ingredient cost per portion EX-VAT, waste %, and current menu price INC-VAT. Rows 6–7 are examples – overwrite them.</t>
  </si>
  <si>
    <t xml:space="preserve">Everything else calculates. GP % uses ex-VAT figures throughout.</t>
  </si>
  <si>
    <t xml:space="preserve">Item</t>
  </si>
  <si>
    <t xml:space="preserve">Type</t>
  </si>
  <si>
    <t xml:space="preserve">Ingredient cost ex-VAT (£)</t>
  </si>
  <si>
    <t xml:space="preserve">Waste %</t>
  </si>
  <si>
    <t xml:space="preserve">True cost (£)</t>
  </si>
  <si>
    <t xml:space="preserve">Menu price inc-VAT (£)</t>
  </si>
  <si>
    <t xml:space="preserve">Price ex-VAT (£)</t>
  </si>
  <si>
    <t xml:space="preserve">GP (£)</t>
  </si>
  <si>
    <t xml:space="preserve">GP %</t>
  </si>
  <si>
    <t xml:space="preserve">Status</t>
  </si>
  <si>
    <t xml:space="preserve">Suggested price ex-VAT (£)</t>
  </si>
  <si>
    <t xml:space="preserve">Suggested menu price inc-VAT (£)</t>
  </si>
  <si>
    <t xml:space="preserve">Example dish</t>
  </si>
  <si>
    <t xml:space="preserve">Food</t>
  </si>
  <si>
    <t xml:space="preserve">Example house wine (bottle)</t>
  </si>
  <si>
    <t xml:space="preserve">Drink</t>
  </si>
  <si>
    <t xml:space="preserve">Delivery Menu Pricing</t>
  </si>
  <si>
    <t xml:space="preserve">Items pull from 'Dish Costing'. Commission and packaging default to Settings (green) – overwrite per row if a platform differs.</t>
  </si>
  <si>
    <t xml:space="preserve">Delivery price (Jelly method) = (dine-in ex-VAT price + packaging) ÷ (1 − commission). That holds your £ profit; the last two columns show the price needed to hold your target GP %.</t>
  </si>
  <si>
    <t xml:space="preserve">Dine-in price ex-VAT (£)</t>
  </si>
  <si>
    <t xml:space="preserve">Packaging (£)</t>
  </si>
  <si>
    <t xml:space="preserve">Commission %</t>
  </si>
  <si>
    <t xml:space="preserve">Delivery price ex-VAT (£)</t>
  </si>
  <si>
    <t xml:space="preserve">Delivery price inc-VAT (£)</t>
  </si>
  <si>
    <t xml:space="preserve">Revenue kept after commission (£)</t>
  </si>
  <si>
    <t xml:space="preserve">GP % on kept revenue</t>
  </si>
  <si>
    <t xml:space="preserve">Price to hold target GP % ex-VAT (£)</t>
  </si>
  <si>
    <t xml:space="preserve">…inc-VAT (£)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</si>
</sst>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£#,##0.00;&quot;(£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2" t="s">
        <v>5</v>
      </c>
      <c r="B5" s="4" t="n">
        <v>0.2</v>
      </c>
      <c r="C5" s="2" t="s">
        <v>6</v>
      </c>
    </row>
    <row r="6" customFormat="false" ht="15" hidden="false" customHeight="false" outlineLevel="0" collapsed="false">
      <c r="A6" s="2" t="s">
        <v>7</v>
      </c>
      <c r="B6" s="4" t="n">
        <v>0.7</v>
      </c>
      <c r="C6" s="2" t="s">
        <v>8</v>
      </c>
    </row>
    <row r="7" customFormat="false" ht="15" hidden="false" customHeight="false" outlineLevel="0" collapsed="false">
      <c r="A7" s="2" t="s">
        <v>9</v>
      </c>
      <c r="B7" s="4" t="n">
        <v>0.7</v>
      </c>
      <c r="C7" s="2" t="s">
        <v>10</v>
      </c>
    </row>
    <row r="8" customFormat="false" ht="15" hidden="false" customHeight="false" outlineLevel="0" collapsed="false">
      <c r="A8" s="2" t="s">
        <v>11</v>
      </c>
      <c r="B8" s="4" t="n">
        <v>0.6</v>
      </c>
      <c r="C8" s="2" t="s">
        <v>12</v>
      </c>
    </row>
    <row r="9" customFormat="false" ht="15" hidden="false" customHeight="false" outlineLevel="0" collapsed="false">
      <c r="A9" s="2" t="s">
        <v>13</v>
      </c>
      <c r="B9" s="4" t="n">
        <v>0.3</v>
      </c>
      <c r="C9" s="2" t="s">
        <v>14</v>
      </c>
    </row>
    <row r="10" customFormat="false" ht="15" hidden="false" customHeight="false" outlineLevel="0" collapsed="false">
      <c r="A10" s="2" t="s">
        <v>15</v>
      </c>
      <c r="B10" s="5" t="n">
        <v>0.5</v>
      </c>
      <c r="C10" s="2" t="s">
        <v>16</v>
      </c>
    </row>
    <row r="13" customFormat="false" ht="15" hidden="false" customHeight="false" outlineLevel="0" collapsed="false">
      <c r="A13" s="6" t="s">
        <v>17</v>
      </c>
    </row>
    <row r="14" customFormat="false" ht="15" hidden="false" customHeight="false" outlineLevel="0" collapsed="false">
      <c r="A14" s="3" t="s">
        <v>18</v>
      </c>
      <c r="B14" s="3" t="s">
        <v>19</v>
      </c>
      <c r="C14" s="3" t="s">
        <v>20</v>
      </c>
    </row>
    <row r="15" customFormat="false" ht="15" hidden="false" customHeight="false" outlineLevel="0" collapsed="false">
      <c r="A15" s="2" t="s">
        <v>21</v>
      </c>
      <c r="B15" s="2" t="s">
        <v>22</v>
      </c>
      <c r="C15" s="2" t="s">
        <v>23</v>
      </c>
    </row>
    <row r="16" customFormat="false" ht="15" hidden="false" customHeight="false" outlineLevel="0" collapsed="false">
      <c r="A16" s="2" t="s">
        <v>24</v>
      </c>
      <c r="B16" s="2" t="s">
        <v>25</v>
      </c>
      <c r="C16" s="2" t="s">
        <v>23</v>
      </c>
    </row>
    <row r="17" customFormat="false" ht="15" hidden="false" customHeight="false" outlineLevel="0" collapsed="false">
      <c r="A17" s="2" t="s">
        <v>26</v>
      </c>
      <c r="B17" s="2" t="s">
        <v>27</v>
      </c>
      <c r="C17" s="2" t="s">
        <v>28</v>
      </c>
    </row>
    <row r="19" customFormat="false" ht="15" hidden="false" customHeight="false" outlineLevel="0" collapsed="false">
      <c r="A19" s="6" t="s">
        <v>29</v>
      </c>
    </row>
    <row r="20" customFormat="false" ht="15" hidden="false" customHeight="false" outlineLevel="0" collapsed="false">
      <c r="A20" s="2" t="s">
        <v>30</v>
      </c>
    </row>
    <row r="21" customFormat="false" ht="15" hidden="false" customHeight="false" outlineLevel="0" collapsed="false">
      <c r="A21" s="2" t="s">
        <v>31</v>
      </c>
    </row>
    <row r="22" customFormat="false" ht="15" hidden="false" customHeight="false" outlineLevel="0" collapsed="false">
      <c r="A22" s="2" t="s">
        <v>32</v>
      </c>
    </row>
    <row r="23" customFormat="false" ht="15" hidden="false" customHeight="false" outlineLevel="0" collapsed="false">
      <c r="A23" s="2" t="s">
        <v>33</v>
      </c>
    </row>
    <row r="24" customFormat="false" ht="15" hidden="false" customHeight="false" outlineLevel="0" collapsed="false">
      <c r="A24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3" customFormat="false" ht="15" hidden="false" customHeight="false" outlineLevel="0" collapsed="false">
      <c r="A3" s="2" t="s">
        <v>37</v>
      </c>
    </row>
    <row r="5" customFormat="false" ht="42" hidden="false" customHeight="true" outlineLevel="0" collapsed="false">
      <c r="A5" s="7" t="s">
        <v>38</v>
      </c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 t="s">
        <v>46</v>
      </c>
      <c r="J5" s="7" t="s">
        <v>19</v>
      </c>
      <c r="K5" s="7" t="s">
        <v>47</v>
      </c>
      <c r="L5" s="7" t="s">
        <v>48</v>
      </c>
      <c r="M5" s="7" t="s">
        <v>49</v>
      </c>
    </row>
    <row r="6" customFormat="false" ht="15" hidden="false" customHeight="false" outlineLevel="0" collapsed="false">
      <c r="A6" s="8" t="s">
        <v>50</v>
      </c>
      <c r="B6" s="8" t="s">
        <v>51</v>
      </c>
      <c r="C6" s="5" t="n">
        <v>4.5</v>
      </c>
      <c r="D6" s="4" t="n">
        <v>0.06</v>
      </c>
      <c r="E6" s="9" t="n">
        <f aca="false">IF(OR($A6="",$C6=""),"",C6*(1+N(D6)))</f>
        <v>4.77</v>
      </c>
      <c r="F6" s="5" t="n">
        <v>18</v>
      </c>
      <c r="G6" s="9" t="n">
        <f aca="false">IF(OR($A6="",$C6=""),"",IF(F6="","",F6/(1+Settings!$B$5)))</f>
        <v>15</v>
      </c>
      <c r="H6" s="9" t="n">
        <f aca="false">IF(OR($A6="",$C6=""),"",IF(G6="","",G6-E6))</f>
        <v>10.23</v>
      </c>
      <c r="I6" s="10" t="n">
        <f aca="false">IF(OR($A6="",$C6=""),"",IF(G6="","",IF(G6=0,0,H6/G6)))</f>
        <v>0.682</v>
      </c>
      <c r="J6" s="10" t="n">
        <f aca="false">IF(OR($A6="",$C6=""),"",IF(B6="Drink",Settings!$B$7,Settings!$B$6))</f>
        <v>0.7</v>
      </c>
      <c r="K6" s="11" t="str">
        <f aca="false">IF(OR($A6="",$C6=""),"",IF(I6="","",IF(I6&lt;Settings!$B$8,"BELOW ALERT",IF(I6&lt;J6,"Under target","On target"))))</f>
        <v>Under target</v>
      </c>
      <c r="L6" s="9" t="n">
        <f aca="false">IF(OR($A6="",$C6=""),"",E6/(1-J6))</f>
        <v>15.9</v>
      </c>
      <c r="M6" s="9" t="n">
        <f aca="false">IF(OR($A6="",$C6=""),"",L6*(1+Settings!$B$5))</f>
        <v>19.08</v>
      </c>
    </row>
    <row r="7" customFormat="false" ht="15" hidden="false" customHeight="false" outlineLevel="0" collapsed="false">
      <c r="A7" s="8" t="s">
        <v>52</v>
      </c>
      <c r="B7" s="8" t="s">
        <v>53</v>
      </c>
      <c r="C7" s="5" t="n">
        <v>6</v>
      </c>
      <c r="D7" s="4" t="n">
        <v>0.02</v>
      </c>
      <c r="E7" s="9" t="n">
        <f aca="false">IF(OR($A7="",$C7=""),"",C7*(1+N(D7)))</f>
        <v>6.12</v>
      </c>
      <c r="F7" s="5" t="n">
        <v>28.8</v>
      </c>
      <c r="G7" s="9" t="n">
        <f aca="false">IF(OR($A7="",$C7=""),"",IF(F7="","",F7/(1+Settings!$B$5)))</f>
        <v>24</v>
      </c>
      <c r="H7" s="9" t="n">
        <f aca="false">IF(OR($A7="",$C7=""),"",IF(G7="","",G7-E7))</f>
        <v>17.88</v>
      </c>
      <c r="I7" s="10" t="n">
        <f aca="false">IF(OR($A7="",$C7=""),"",IF(G7="","",IF(G7=0,0,H7/G7)))</f>
        <v>0.745</v>
      </c>
      <c r="J7" s="10" t="n">
        <f aca="false">IF(OR($A7="",$C7=""),"",IF(B7="Drink",Settings!$B$7,Settings!$B$6))</f>
        <v>0.7</v>
      </c>
      <c r="K7" s="11" t="str">
        <f aca="false">IF(OR($A7="",$C7=""),"",IF(I7="","",IF(I7&lt;Settings!$B$8,"BELOW ALERT",IF(I7&lt;J7,"Under target","On target"))))</f>
        <v>On target</v>
      </c>
      <c r="L7" s="9" t="n">
        <f aca="false">IF(OR($A7="",$C7=""),"",E7/(1-J7))</f>
        <v>20.4</v>
      </c>
      <c r="M7" s="9" t="n">
        <f aca="false">IF(OR($A7="",$C7=""),"",L7*(1+Settings!$B$5))</f>
        <v>24.48</v>
      </c>
    </row>
    <row r="8" customFormat="false" ht="15" hidden="false" customHeight="false" outlineLevel="0" collapsed="false">
      <c r="A8" s="8"/>
      <c r="B8" s="8"/>
      <c r="C8" s="5"/>
      <c r="D8" s="4"/>
      <c r="E8" s="9" t="str">
        <f aca="false">IF(OR($A8="",$C8=""),"",C8*(1+N(D8)))</f>
        <v/>
      </c>
      <c r="F8" s="5"/>
      <c r="G8" s="9" t="str">
        <f aca="false">IF(OR($A8="",$C8=""),"",IF(F8="","",F8/(1+Settings!$B$5)))</f>
        <v/>
      </c>
      <c r="H8" s="9" t="str">
        <f aca="false">IF(OR($A8="",$C8=""),"",IF(G8="","",G8-E8))</f>
        <v/>
      </c>
      <c r="I8" s="10" t="str">
        <f aca="false">IF(OR($A8="",$C8=""),"",IF(G8="","",IF(G8=0,0,H8/G8)))</f>
        <v/>
      </c>
      <c r="J8" s="10" t="str">
        <f aca="false">IF(OR($A8="",$C8=""),"",IF(B8="Drink",Settings!$B$7,Settings!$B$6))</f>
        <v/>
      </c>
      <c r="K8" s="11" t="str">
        <f aca="false">IF(OR($A8="",$C8=""),"",IF(I8="","",IF(I8&lt;Settings!$B$8,"BELOW ALERT",IF(I8&lt;J8,"Under target","On target"))))</f>
        <v/>
      </c>
      <c r="L8" s="9" t="str">
        <f aca="false">IF(OR($A8="",$C8=""),"",E8/(1-J8))</f>
        <v/>
      </c>
      <c r="M8" s="9" t="str">
        <f aca="false">IF(OR($A8="",$C8=""),"",L8*(1+Settings!$B$5))</f>
        <v/>
      </c>
    </row>
    <row r="9" customFormat="false" ht="15" hidden="false" customHeight="false" outlineLevel="0" collapsed="false">
      <c r="A9" s="8"/>
      <c r="B9" s="8"/>
      <c r="C9" s="5"/>
      <c r="D9" s="4"/>
      <c r="E9" s="9" t="str">
        <f aca="false">IF(OR($A9="",$C9=""),"",C9*(1+N(D9)))</f>
        <v/>
      </c>
      <c r="F9" s="5"/>
      <c r="G9" s="9" t="str">
        <f aca="false">IF(OR($A9="",$C9=""),"",IF(F9="","",F9/(1+Settings!$B$5)))</f>
        <v/>
      </c>
      <c r="H9" s="9" t="str">
        <f aca="false">IF(OR($A9="",$C9=""),"",IF(G9="","",G9-E9))</f>
        <v/>
      </c>
      <c r="I9" s="10" t="str">
        <f aca="false">IF(OR($A9="",$C9=""),"",IF(G9="","",IF(G9=0,0,H9/G9)))</f>
        <v/>
      </c>
      <c r="J9" s="10" t="str">
        <f aca="false">IF(OR($A9="",$C9=""),"",IF(B9="Drink",Settings!$B$7,Settings!$B$6))</f>
        <v/>
      </c>
      <c r="K9" s="11" t="str">
        <f aca="false">IF(OR($A9="",$C9=""),"",IF(I9="","",IF(I9&lt;Settings!$B$8,"BELOW ALERT",IF(I9&lt;J9,"Under target","On target"))))</f>
        <v/>
      </c>
      <c r="L9" s="9" t="str">
        <f aca="false">IF(OR($A9="",$C9=""),"",E9/(1-J9))</f>
        <v/>
      </c>
      <c r="M9" s="9" t="str">
        <f aca="false">IF(OR($A9="",$C9=""),"",L9*(1+Settings!$B$5))</f>
        <v/>
      </c>
    </row>
    <row r="10" customFormat="false" ht="15" hidden="false" customHeight="false" outlineLevel="0" collapsed="false">
      <c r="A10" s="8"/>
      <c r="B10" s="8"/>
      <c r="C10" s="5"/>
      <c r="D10" s="4"/>
      <c r="E10" s="9" t="str">
        <f aca="false">IF(OR($A10="",$C10=""),"",C10*(1+N(D10)))</f>
        <v/>
      </c>
      <c r="F10" s="5"/>
      <c r="G10" s="9" t="str">
        <f aca="false">IF(OR($A10="",$C10=""),"",IF(F10="","",F10/(1+Settings!$B$5)))</f>
        <v/>
      </c>
      <c r="H10" s="9" t="str">
        <f aca="false">IF(OR($A10="",$C10=""),"",IF(G10="","",G10-E10))</f>
        <v/>
      </c>
      <c r="I10" s="10" t="str">
        <f aca="false">IF(OR($A10="",$C10=""),"",IF(G10="","",IF(G10=0,0,H10/G10)))</f>
        <v/>
      </c>
      <c r="J10" s="10" t="str">
        <f aca="false">IF(OR($A10="",$C10=""),"",IF(B10="Drink",Settings!$B$7,Settings!$B$6))</f>
        <v/>
      </c>
      <c r="K10" s="11" t="str">
        <f aca="false">IF(OR($A10="",$C10=""),"",IF(I10="","",IF(I10&lt;Settings!$B$8,"BELOW ALERT",IF(I10&lt;J10,"Under target","On target"))))</f>
        <v/>
      </c>
      <c r="L10" s="9" t="str">
        <f aca="false">IF(OR($A10="",$C10=""),"",E10/(1-J10))</f>
        <v/>
      </c>
      <c r="M10" s="9" t="str">
        <f aca="false">IF(OR($A10="",$C10=""),"",L10*(1+Settings!$B$5))</f>
        <v/>
      </c>
    </row>
    <row r="11" customFormat="false" ht="15" hidden="false" customHeight="false" outlineLevel="0" collapsed="false">
      <c r="A11" s="8"/>
      <c r="B11" s="8"/>
      <c r="C11" s="5"/>
      <c r="D11" s="4"/>
      <c r="E11" s="9" t="str">
        <f aca="false">IF(OR($A11="",$C11=""),"",C11*(1+N(D11)))</f>
        <v/>
      </c>
      <c r="F11" s="5"/>
      <c r="G11" s="9" t="str">
        <f aca="false">IF(OR($A11="",$C11=""),"",IF(F11="","",F11/(1+Settings!$B$5)))</f>
        <v/>
      </c>
      <c r="H11" s="9" t="str">
        <f aca="false">IF(OR($A11="",$C11=""),"",IF(G11="","",G11-E11))</f>
        <v/>
      </c>
      <c r="I11" s="10" t="str">
        <f aca="false">IF(OR($A11="",$C11=""),"",IF(G11="","",IF(G11=0,0,H11/G11)))</f>
        <v/>
      </c>
      <c r="J11" s="10" t="str">
        <f aca="false">IF(OR($A11="",$C11=""),"",IF(B11="Drink",Settings!$B$7,Settings!$B$6))</f>
        <v/>
      </c>
      <c r="K11" s="11" t="str">
        <f aca="false">IF(OR($A11="",$C11=""),"",IF(I11="","",IF(I11&lt;Settings!$B$8,"BELOW ALERT",IF(I11&lt;J11,"Under target","On target"))))</f>
        <v/>
      </c>
      <c r="L11" s="9" t="str">
        <f aca="false">IF(OR($A11="",$C11=""),"",E11/(1-J11))</f>
        <v/>
      </c>
      <c r="M11" s="9" t="str">
        <f aca="false">IF(OR($A11="",$C11=""),"",L11*(1+Settings!$B$5))</f>
        <v/>
      </c>
    </row>
    <row r="12" customFormat="false" ht="15" hidden="false" customHeight="false" outlineLevel="0" collapsed="false">
      <c r="A12" s="8"/>
      <c r="B12" s="8"/>
      <c r="C12" s="5"/>
      <c r="D12" s="4"/>
      <c r="E12" s="9" t="str">
        <f aca="false">IF(OR($A12="",$C12=""),"",C12*(1+N(D12)))</f>
        <v/>
      </c>
      <c r="F12" s="5"/>
      <c r="G12" s="9" t="str">
        <f aca="false">IF(OR($A12="",$C12=""),"",IF(F12="","",F12/(1+Settings!$B$5)))</f>
        <v/>
      </c>
      <c r="H12" s="9" t="str">
        <f aca="false">IF(OR($A12="",$C12=""),"",IF(G12="","",G12-E12))</f>
        <v/>
      </c>
      <c r="I12" s="10" t="str">
        <f aca="false">IF(OR($A12="",$C12=""),"",IF(G12="","",IF(G12=0,0,H12/G12)))</f>
        <v/>
      </c>
      <c r="J12" s="10" t="str">
        <f aca="false">IF(OR($A12="",$C12=""),"",IF(B12="Drink",Settings!$B$7,Settings!$B$6))</f>
        <v/>
      </c>
      <c r="K12" s="11" t="str">
        <f aca="false">IF(OR($A12="",$C12=""),"",IF(I12="","",IF(I12&lt;Settings!$B$8,"BELOW ALERT",IF(I12&lt;J12,"Under target","On target"))))</f>
        <v/>
      </c>
      <c r="L12" s="9" t="str">
        <f aca="false">IF(OR($A12="",$C12=""),"",E12/(1-J12))</f>
        <v/>
      </c>
      <c r="M12" s="9" t="str">
        <f aca="false">IF(OR($A12="",$C12=""),"",L12*(1+Settings!$B$5))</f>
        <v/>
      </c>
    </row>
    <row r="13" customFormat="false" ht="15" hidden="false" customHeight="false" outlineLevel="0" collapsed="false">
      <c r="A13" s="8"/>
      <c r="B13" s="8"/>
      <c r="C13" s="5"/>
      <c r="D13" s="4"/>
      <c r="E13" s="9" t="str">
        <f aca="false">IF(OR($A13="",$C13=""),"",C13*(1+N(D13)))</f>
        <v/>
      </c>
      <c r="F13" s="5"/>
      <c r="G13" s="9" t="str">
        <f aca="false">IF(OR($A13="",$C13=""),"",IF(F13="","",F13/(1+Settings!$B$5)))</f>
        <v/>
      </c>
      <c r="H13" s="9" t="str">
        <f aca="false">IF(OR($A13="",$C13=""),"",IF(G13="","",G13-E13))</f>
        <v/>
      </c>
      <c r="I13" s="10" t="str">
        <f aca="false">IF(OR($A13="",$C13=""),"",IF(G13="","",IF(G13=0,0,H13/G13)))</f>
        <v/>
      </c>
      <c r="J13" s="10" t="str">
        <f aca="false">IF(OR($A13="",$C13=""),"",IF(B13="Drink",Settings!$B$7,Settings!$B$6))</f>
        <v/>
      </c>
      <c r="K13" s="11" t="str">
        <f aca="false">IF(OR($A13="",$C13=""),"",IF(I13="","",IF(I13&lt;Settings!$B$8,"BELOW ALERT",IF(I13&lt;J13,"Under target","On target"))))</f>
        <v/>
      </c>
      <c r="L13" s="9" t="str">
        <f aca="false">IF(OR($A13="",$C13=""),"",E13/(1-J13))</f>
        <v/>
      </c>
      <c r="M13" s="9" t="str">
        <f aca="false">IF(OR($A13="",$C13=""),"",L13*(1+Settings!$B$5))</f>
        <v/>
      </c>
    </row>
    <row r="14" customFormat="false" ht="15" hidden="false" customHeight="false" outlineLevel="0" collapsed="false">
      <c r="A14" s="8"/>
      <c r="B14" s="8"/>
      <c r="C14" s="5"/>
      <c r="D14" s="4"/>
      <c r="E14" s="9" t="str">
        <f aca="false">IF(OR($A14="",$C14=""),"",C14*(1+N(D14)))</f>
        <v/>
      </c>
      <c r="F14" s="5"/>
      <c r="G14" s="9" t="str">
        <f aca="false">IF(OR($A14="",$C14=""),"",IF(F14="","",F14/(1+Settings!$B$5)))</f>
        <v/>
      </c>
      <c r="H14" s="9" t="str">
        <f aca="false">IF(OR($A14="",$C14=""),"",IF(G14="","",G14-E14))</f>
        <v/>
      </c>
      <c r="I14" s="10" t="str">
        <f aca="false">IF(OR($A14="",$C14=""),"",IF(G14="","",IF(G14=0,0,H14/G14)))</f>
        <v/>
      </c>
      <c r="J14" s="10" t="str">
        <f aca="false">IF(OR($A14="",$C14=""),"",IF(B14="Drink",Settings!$B$7,Settings!$B$6))</f>
        <v/>
      </c>
      <c r="K14" s="11" t="str">
        <f aca="false">IF(OR($A14="",$C14=""),"",IF(I14="","",IF(I14&lt;Settings!$B$8,"BELOW ALERT",IF(I14&lt;J14,"Under target","On target"))))</f>
        <v/>
      </c>
      <c r="L14" s="9" t="str">
        <f aca="false">IF(OR($A14="",$C14=""),"",E14/(1-J14))</f>
        <v/>
      </c>
      <c r="M14" s="9" t="str">
        <f aca="false">IF(OR($A14="",$C14=""),"",L14*(1+Settings!$B$5))</f>
        <v/>
      </c>
    </row>
    <row r="15" customFormat="false" ht="15" hidden="false" customHeight="false" outlineLevel="0" collapsed="false">
      <c r="A15" s="8"/>
      <c r="B15" s="8"/>
      <c r="C15" s="5"/>
      <c r="D15" s="4"/>
      <c r="E15" s="9" t="str">
        <f aca="false">IF(OR($A15="",$C15=""),"",C15*(1+N(D15)))</f>
        <v/>
      </c>
      <c r="F15" s="5"/>
      <c r="G15" s="9" t="str">
        <f aca="false">IF(OR($A15="",$C15=""),"",IF(F15="","",F15/(1+Settings!$B$5)))</f>
        <v/>
      </c>
      <c r="H15" s="9" t="str">
        <f aca="false">IF(OR($A15="",$C15=""),"",IF(G15="","",G15-E15))</f>
        <v/>
      </c>
      <c r="I15" s="10" t="str">
        <f aca="false">IF(OR($A15="",$C15=""),"",IF(G15="","",IF(G15=0,0,H15/G15)))</f>
        <v/>
      </c>
      <c r="J15" s="10" t="str">
        <f aca="false">IF(OR($A15="",$C15=""),"",IF(B15="Drink",Settings!$B$7,Settings!$B$6))</f>
        <v/>
      </c>
      <c r="K15" s="11" t="str">
        <f aca="false">IF(OR($A15="",$C15=""),"",IF(I15="","",IF(I15&lt;Settings!$B$8,"BELOW ALERT",IF(I15&lt;J15,"Under target","On target"))))</f>
        <v/>
      </c>
      <c r="L15" s="9" t="str">
        <f aca="false">IF(OR($A15="",$C15=""),"",E15/(1-J15))</f>
        <v/>
      </c>
      <c r="M15" s="9" t="str">
        <f aca="false">IF(OR($A15="",$C15=""),"",L15*(1+Settings!$B$5))</f>
        <v/>
      </c>
    </row>
    <row r="16" customFormat="false" ht="15" hidden="false" customHeight="false" outlineLevel="0" collapsed="false">
      <c r="A16" s="8"/>
      <c r="B16" s="8"/>
      <c r="C16" s="5"/>
      <c r="D16" s="4"/>
      <c r="E16" s="9" t="str">
        <f aca="false">IF(OR($A16="",$C16=""),"",C16*(1+N(D16)))</f>
        <v/>
      </c>
      <c r="F16" s="5"/>
      <c r="G16" s="9" t="str">
        <f aca="false">IF(OR($A16="",$C16=""),"",IF(F16="","",F16/(1+Settings!$B$5)))</f>
        <v/>
      </c>
      <c r="H16" s="9" t="str">
        <f aca="false">IF(OR($A16="",$C16=""),"",IF(G16="","",G16-E16))</f>
        <v/>
      </c>
      <c r="I16" s="10" t="str">
        <f aca="false">IF(OR($A16="",$C16=""),"",IF(G16="","",IF(G16=0,0,H16/G16)))</f>
        <v/>
      </c>
      <c r="J16" s="10" t="str">
        <f aca="false">IF(OR($A16="",$C16=""),"",IF(B16="Drink",Settings!$B$7,Settings!$B$6))</f>
        <v/>
      </c>
      <c r="K16" s="11" t="str">
        <f aca="false">IF(OR($A16="",$C16=""),"",IF(I16="","",IF(I16&lt;Settings!$B$8,"BELOW ALERT",IF(I16&lt;J16,"Under target","On target"))))</f>
        <v/>
      </c>
      <c r="L16" s="9" t="str">
        <f aca="false">IF(OR($A16="",$C16=""),"",E16/(1-J16))</f>
        <v/>
      </c>
      <c r="M16" s="9" t="str">
        <f aca="false">IF(OR($A16="",$C16=""),"",L16*(1+Settings!$B$5))</f>
        <v/>
      </c>
    </row>
    <row r="17" customFormat="false" ht="15" hidden="false" customHeight="false" outlineLevel="0" collapsed="false">
      <c r="A17" s="8"/>
      <c r="B17" s="8"/>
      <c r="C17" s="5"/>
      <c r="D17" s="4"/>
      <c r="E17" s="9" t="str">
        <f aca="false">IF(OR($A17="",$C17=""),"",C17*(1+N(D17)))</f>
        <v/>
      </c>
      <c r="F17" s="5"/>
      <c r="G17" s="9" t="str">
        <f aca="false">IF(OR($A17="",$C17=""),"",IF(F17="","",F17/(1+Settings!$B$5)))</f>
        <v/>
      </c>
      <c r="H17" s="9" t="str">
        <f aca="false">IF(OR($A17="",$C17=""),"",IF(G17="","",G17-E17))</f>
        <v/>
      </c>
      <c r="I17" s="10" t="str">
        <f aca="false">IF(OR($A17="",$C17=""),"",IF(G17="","",IF(G17=0,0,H17/G17)))</f>
        <v/>
      </c>
      <c r="J17" s="10" t="str">
        <f aca="false">IF(OR($A17="",$C17=""),"",IF(B17="Drink",Settings!$B$7,Settings!$B$6))</f>
        <v/>
      </c>
      <c r="K17" s="11" t="str">
        <f aca="false">IF(OR($A17="",$C17=""),"",IF(I17="","",IF(I17&lt;Settings!$B$8,"BELOW ALERT",IF(I17&lt;J17,"Under target","On target"))))</f>
        <v/>
      </c>
      <c r="L17" s="9" t="str">
        <f aca="false">IF(OR($A17="",$C17=""),"",E17/(1-J17))</f>
        <v/>
      </c>
      <c r="M17" s="9" t="str">
        <f aca="false">IF(OR($A17="",$C17=""),"",L17*(1+Settings!$B$5))</f>
        <v/>
      </c>
    </row>
    <row r="18" customFormat="false" ht="15" hidden="false" customHeight="false" outlineLevel="0" collapsed="false">
      <c r="A18" s="8"/>
      <c r="B18" s="8"/>
      <c r="C18" s="5"/>
      <c r="D18" s="4"/>
      <c r="E18" s="9" t="str">
        <f aca="false">IF(OR($A18="",$C18=""),"",C18*(1+N(D18)))</f>
        <v/>
      </c>
      <c r="F18" s="5"/>
      <c r="G18" s="9" t="str">
        <f aca="false">IF(OR($A18="",$C18=""),"",IF(F18="","",F18/(1+Settings!$B$5)))</f>
        <v/>
      </c>
      <c r="H18" s="9" t="str">
        <f aca="false">IF(OR($A18="",$C18=""),"",IF(G18="","",G18-E18))</f>
        <v/>
      </c>
      <c r="I18" s="10" t="str">
        <f aca="false">IF(OR($A18="",$C18=""),"",IF(G18="","",IF(G18=0,0,H18/G18)))</f>
        <v/>
      </c>
      <c r="J18" s="10" t="str">
        <f aca="false">IF(OR($A18="",$C18=""),"",IF(B18="Drink",Settings!$B$7,Settings!$B$6))</f>
        <v/>
      </c>
      <c r="K18" s="11" t="str">
        <f aca="false">IF(OR($A18="",$C18=""),"",IF(I18="","",IF(I18&lt;Settings!$B$8,"BELOW ALERT",IF(I18&lt;J18,"Under target","On target"))))</f>
        <v/>
      </c>
      <c r="L18" s="9" t="str">
        <f aca="false">IF(OR($A18="",$C18=""),"",E18/(1-J18))</f>
        <v/>
      </c>
      <c r="M18" s="9" t="str">
        <f aca="false">IF(OR($A18="",$C18=""),"",L18*(1+Settings!$B$5))</f>
        <v/>
      </c>
    </row>
    <row r="19" customFormat="false" ht="15" hidden="false" customHeight="false" outlineLevel="0" collapsed="false">
      <c r="A19" s="8"/>
      <c r="B19" s="8"/>
      <c r="C19" s="5"/>
      <c r="D19" s="4"/>
      <c r="E19" s="9" t="str">
        <f aca="false">IF(OR($A19="",$C19=""),"",C19*(1+N(D19)))</f>
        <v/>
      </c>
      <c r="F19" s="5"/>
      <c r="G19" s="9" t="str">
        <f aca="false">IF(OR($A19="",$C19=""),"",IF(F19="","",F19/(1+Settings!$B$5)))</f>
        <v/>
      </c>
      <c r="H19" s="9" t="str">
        <f aca="false">IF(OR($A19="",$C19=""),"",IF(G19="","",G19-E19))</f>
        <v/>
      </c>
      <c r="I19" s="10" t="str">
        <f aca="false">IF(OR($A19="",$C19=""),"",IF(G19="","",IF(G19=0,0,H19/G19)))</f>
        <v/>
      </c>
      <c r="J19" s="10" t="str">
        <f aca="false">IF(OR($A19="",$C19=""),"",IF(B19="Drink",Settings!$B$7,Settings!$B$6))</f>
        <v/>
      </c>
      <c r="K19" s="11" t="str">
        <f aca="false">IF(OR($A19="",$C19=""),"",IF(I19="","",IF(I19&lt;Settings!$B$8,"BELOW ALERT",IF(I19&lt;J19,"Under target","On target"))))</f>
        <v/>
      </c>
      <c r="L19" s="9" t="str">
        <f aca="false">IF(OR($A19="",$C19=""),"",E19/(1-J19))</f>
        <v/>
      </c>
      <c r="M19" s="9" t="str">
        <f aca="false">IF(OR($A19="",$C19=""),"",L19*(1+Settings!$B$5))</f>
        <v/>
      </c>
    </row>
    <row r="20" customFormat="false" ht="15" hidden="false" customHeight="false" outlineLevel="0" collapsed="false">
      <c r="A20" s="8"/>
      <c r="B20" s="8"/>
      <c r="C20" s="5"/>
      <c r="D20" s="4"/>
      <c r="E20" s="9" t="str">
        <f aca="false">IF(OR($A20="",$C20=""),"",C20*(1+N(D20)))</f>
        <v/>
      </c>
      <c r="F20" s="5"/>
      <c r="G20" s="9" t="str">
        <f aca="false">IF(OR($A20="",$C20=""),"",IF(F20="","",F20/(1+Settings!$B$5)))</f>
        <v/>
      </c>
      <c r="H20" s="9" t="str">
        <f aca="false">IF(OR($A20="",$C20=""),"",IF(G20="","",G20-E20))</f>
        <v/>
      </c>
      <c r="I20" s="10" t="str">
        <f aca="false">IF(OR($A20="",$C20=""),"",IF(G20="","",IF(G20=0,0,H20/G20)))</f>
        <v/>
      </c>
      <c r="J20" s="10" t="str">
        <f aca="false">IF(OR($A20="",$C20=""),"",IF(B20="Drink",Settings!$B$7,Settings!$B$6))</f>
        <v/>
      </c>
      <c r="K20" s="11" t="str">
        <f aca="false">IF(OR($A20="",$C20=""),"",IF(I20="","",IF(I20&lt;Settings!$B$8,"BELOW ALERT",IF(I20&lt;J20,"Under target","On target"))))</f>
        <v/>
      </c>
      <c r="L20" s="9" t="str">
        <f aca="false">IF(OR($A20="",$C20=""),"",E20/(1-J20))</f>
        <v/>
      </c>
      <c r="M20" s="9" t="str">
        <f aca="false">IF(OR($A20="",$C20=""),"",L20*(1+Settings!$B$5))</f>
        <v/>
      </c>
    </row>
    <row r="21" customFormat="false" ht="15" hidden="false" customHeight="false" outlineLevel="0" collapsed="false">
      <c r="A21" s="8"/>
      <c r="B21" s="8"/>
      <c r="C21" s="5"/>
      <c r="D21" s="4"/>
      <c r="E21" s="9" t="str">
        <f aca="false">IF(OR($A21="",$C21=""),"",C21*(1+N(D21)))</f>
        <v/>
      </c>
      <c r="F21" s="5"/>
      <c r="G21" s="9" t="str">
        <f aca="false">IF(OR($A21="",$C21=""),"",IF(F21="","",F21/(1+Settings!$B$5)))</f>
        <v/>
      </c>
      <c r="H21" s="9" t="str">
        <f aca="false">IF(OR($A21="",$C21=""),"",IF(G21="","",G21-E21))</f>
        <v/>
      </c>
      <c r="I21" s="10" t="str">
        <f aca="false">IF(OR($A21="",$C21=""),"",IF(G21="","",IF(G21=0,0,H21/G21)))</f>
        <v/>
      </c>
      <c r="J21" s="10" t="str">
        <f aca="false">IF(OR($A21="",$C21=""),"",IF(B21="Drink",Settings!$B$7,Settings!$B$6))</f>
        <v/>
      </c>
      <c r="K21" s="11" t="str">
        <f aca="false">IF(OR($A21="",$C21=""),"",IF(I21="","",IF(I21&lt;Settings!$B$8,"BELOW ALERT",IF(I21&lt;J21,"Under target","On target"))))</f>
        <v/>
      </c>
      <c r="L21" s="9" t="str">
        <f aca="false">IF(OR($A21="",$C21=""),"",E21/(1-J21))</f>
        <v/>
      </c>
      <c r="M21" s="9" t="str">
        <f aca="false">IF(OR($A21="",$C21=""),"",L21*(1+Settings!$B$5))</f>
        <v/>
      </c>
    </row>
    <row r="22" customFormat="false" ht="15" hidden="false" customHeight="false" outlineLevel="0" collapsed="false">
      <c r="A22" s="8"/>
      <c r="B22" s="8"/>
      <c r="C22" s="5"/>
      <c r="D22" s="4"/>
      <c r="E22" s="9" t="str">
        <f aca="false">IF(OR($A22="",$C22=""),"",C22*(1+N(D22)))</f>
        <v/>
      </c>
      <c r="F22" s="5"/>
      <c r="G22" s="9" t="str">
        <f aca="false">IF(OR($A22="",$C22=""),"",IF(F22="","",F22/(1+Settings!$B$5)))</f>
        <v/>
      </c>
      <c r="H22" s="9" t="str">
        <f aca="false">IF(OR($A22="",$C22=""),"",IF(G22="","",G22-E22))</f>
        <v/>
      </c>
      <c r="I22" s="10" t="str">
        <f aca="false">IF(OR($A22="",$C22=""),"",IF(G22="","",IF(G22=0,0,H22/G22)))</f>
        <v/>
      </c>
      <c r="J22" s="10" t="str">
        <f aca="false">IF(OR($A22="",$C22=""),"",IF(B22="Drink",Settings!$B$7,Settings!$B$6))</f>
        <v/>
      </c>
      <c r="K22" s="11" t="str">
        <f aca="false">IF(OR($A22="",$C22=""),"",IF(I22="","",IF(I22&lt;Settings!$B$8,"BELOW ALERT",IF(I22&lt;J22,"Under target","On target"))))</f>
        <v/>
      </c>
      <c r="L22" s="9" t="str">
        <f aca="false">IF(OR($A22="",$C22=""),"",E22/(1-J22))</f>
        <v/>
      </c>
      <c r="M22" s="9" t="str">
        <f aca="false">IF(OR($A22="",$C22=""),"",L22*(1+Settings!$B$5))</f>
        <v/>
      </c>
    </row>
    <row r="23" customFormat="false" ht="15" hidden="false" customHeight="false" outlineLevel="0" collapsed="false">
      <c r="A23" s="8"/>
      <c r="B23" s="8"/>
      <c r="C23" s="5"/>
      <c r="D23" s="4"/>
      <c r="E23" s="9" t="str">
        <f aca="false">IF(OR($A23="",$C23=""),"",C23*(1+N(D23)))</f>
        <v/>
      </c>
      <c r="F23" s="5"/>
      <c r="G23" s="9" t="str">
        <f aca="false">IF(OR($A23="",$C23=""),"",IF(F23="","",F23/(1+Settings!$B$5)))</f>
        <v/>
      </c>
      <c r="H23" s="9" t="str">
        <f aca="false">IF(OR($A23="",$C23=""),"",IF(G23="","",G23-E23))</f>
        <v/>
      </c>
      <c r="I23" s="10" t="str">
        <f aca="false">IF(OR($A23="",$C23=""),"",IF(G23="","",IF(G23=0,0,H23/G23)))</f>
        <v/>
      </c>
      <c r="J23" s="10" t="str">
        <f aca="false">IF(OR($A23="",$C23=""),"",IF(B23="Drink",Settings!$B$7,Settings!$B$6))</f>
        <v/>
      </c>
      <c r="K23" s="11" t="str">
        <f aca="false">IF(OR($A23="",$C23=""),"",IF(I23="","",IF(I23&lt;Settings!$B$8,"BELOW ALERT",IF(I23&lt;J23,"Under target","On target"))))</f>
        <v/>
      </c>
      <c r="L23" s="9" t="str">
        <f aca="false">IF(OR($A23="",$C23=""),"",E23/(1-J23))</f>
        <v/>
      </c>
      <c r="M23" s="9" t="str">
        <f aca="false">IF(OR($A23="",$C23=""),"",L23*(1+Settings!$B$5))</f>
        <v/>
      </c>
    </row>
    <row r="24" customFormat="false" ht="15" hidden="false" customHeight="false" outlineLevel="0" collapsed="false">
      <c r="A24" s="8"/>
      <c r="B24" s="8"/>
      <c r="C24" s="5"/>
      <c r="D24" s="4"/>
      <c r="E24" s="9" t="str">
        <f aca="false">IF(OR($A24="",$C24=""),"",C24*(1+N(D24)))</f>
        <v/>
      </c>
      <c r="F24" s="5"/>
      <c r="G24" s="9" t="str">
        <f aca="false">IF(OR($A24="",$C24=""),"",IF(F24="","",F24/(1+Settings!$B$5)))</f>
        <v/>
      </c>
      <c r="H24" s="9" t="str">
        <f aca="false">IF(OR($A24="",$C24=""),"",IF(G24="","",G24-E24))</f>
        <v/>
      </c>
      <c r="I24" s="10" t="str">
        <f aca="false">IF(OR($A24="",$C24=""),"",IF(G24="","",IF(G24=0,0,H24/G24)))</f>
        <v/>
      </c>
      <c r="J24" s="10" t="str">
        <f aca="false">IF(OR($A24="",$C24=""),"",IF(B24="Drink",Settings!$B$7,Settings!$B$6))</f>
        <v/>
      </c>
      <c r="K24" s="11" t="str">
        <f aca="false">IF(OR($A24="",$C24=""),"",IF(I24="","",IF(I24&lt;Settings!$B$8,"BELOW ALERT",IF(I24&lt;J24,"Under target","On target"))))</f>
        <v/>
      </c>
      <c r="L24" s="9" t="str">
        <f aca="false">IF(OR($A24="",$C24=""),"",E24/(1-J24))</f>
        <v/>
      </c>
      <c r="M24" s="9" t="str">
        <f aca="false">IF(OR($A24="",$C24=""),"",L24*(1+Settings!$B$5))</f>
        <v/>
      </c>
    </row>
    <row r="25" customFormat="false" ht="15" hidden="false" customHeight="false" outlineLevel="0" collapsed="false">
      <c r="A25" s="8"/>
      <c r="B25" s="8"/>
      <c r="C25" s="5"/>
      <c r="D25" s="4"/>
      <c r="E25" s="9" t="str">
        <f aca="false">IF(OR($A25="",$C25=""),"",C25*(1+N(D25)))</f>
        <v/>
      </c>
      <c r="F25" s="5"/>
      <c r="G25" s="9" t="str">
        <f aca="false">IF(OR($A25="",$C25=""),"",IF(F25="","",F25/(1+Settings!$B$5)))</f>
        <v/>
      </c>
      <c r="H25" s="9" t="str">
        <f aca="false">IF(OR($A25="",$C25=""),"",IF(G25="","",G25-E25))</f>
        <v/>
      </c>
      <c r="I25" s="10" t="str">
        <f aca="false">IF(OR($A25="",$C25=""),"",IF(G25="","",IF(G25=0,0,H25/G25)))</f>
        <v/>
      </c>
      <c r="J25" s="10" t="str">
        <f aca="false">IF(OR($A25="",$C25=""),"",IF(B25="Drink",Settings!$B$7,Settings!$B$6))</f>
        <v/>
      </c>
      <c r="K25" s="11" t="str">
        <f aca="false">IF(OR($A25="",$C25=""),"",IF(I25="","",IF(I25&lt;Settings!$B$8,"BELOW ALERT",IF(I25&lt;J25,"Under target","On target"))))</f>
        <v/>
      </c>
      <c r="L25" s="9" t="str">
        <f aca="false">IF(OR($A25="",$C25=""),"",E25/(1-J25))</f>
        <v/>
      </c>
      <c r="M25" s="9" t="str">
        <f aca="false">IF(OR($A25="",$C25=""),"",L25*(1+Settings!$B$5))</f>
        <v/>
      </c>
    </row>
    <row r="26" customFormat="false" ht="15" hidden="false" customHeight="false" outlineLevel="0" collapsed="false">
      <c r="A26" s="8"/>
      <c r="B26" s="8"/>
      <c r="C26" s="5"/>
      <c r="D26" s="4"/>
      <c r="E26" s="9" t="str">
        <f aca="false">IF(OR($A26="",$C26=""),"",C26*(1+N(D26)))</f>
        <v/>
      </c>
      <c r="F26" s="5"/>
      <c r="G26" s="9" t="str">
        <f aca="false">IF(OR($A26="",$C26=""),"",IF(F26="","",F26/(1+Settings!$B$5)))</f>
        <v/>
      </c>
      <c r="H26" s="9" t="str">
        <f aca="false">IF(OR($A26="",$C26=""),"",IF(G26="","",G26-E26))</f>
        <v/>
      </c>
      <c r="I26" s="10" t="str">
        <f aca="false">IF(OR($A26="",$C26=""),"",IF(G26="","",IF(G26=0,0,H26/G26)))</f>
        <v/>
      </c>
      <c r="J26" s="10" t="str">
        <f aca="false">IF(OR($A26="",$C26=""),"",IF(B26="Drink",Settings!$B$7,Settings!$B$6))</f>
        <v/>
      </c>
      <c r="K26" s="11" t="str">
        <f aca="false">IF(OR($A26="",$C26=""),"",IF(I26="","",IF(I26&lt;Settings!$B$8,"BELOW ALERT",IF(I26&lt;J26,"Under target","On target"))))</f>
        <v/>
      </c>
      <c r="L26" s="9" t="str">
        <f aca="false">IF(OR($A26="",$C26=""),"",E26/(1-J26))</f>
        <v/>
      </c>
      <c r="M26" s="9" t="str">
        <f aca="false">IF(OR($A26="",$C26=""),"",L26*(1+Settings!$B$5))</f>
        <v/>
      </c>
    </row>
    <row r="27" customFormat="false" ht="15" hidden="false" customHeight="false" outlineLevel="0" collapsed="false">
      <c r="A27" s="8"/>
      <c r="B27" s="8"/>
      <c r="C27" s="5"/>
      <c r="D27" s="4"/>
      <c r="E27" s="9" t="str">
        <f aca="false">IF(OR($A27="",$C27=""),"",C27*(1+N(D27)))</f>
        <v/>
      </c>
      <c r="F27" s="5"/>
      <c r="G27" s="9" t="str">
        <f aca="false">IF(OR($A27="",$C27=""),"",IF(F27="","",F27/(1+Settings!$B$5)))</f>
        <v/>
      </c>
      <c r="H27" s="9" t="str">
        <f aca="false">IF(OR($A27="",$C27=""),"",IF(G27="","",G27-E27))</f>
        <v/>
      </c>
      <c r="I27" s="10" t="str">
        <f aca="false">IF(OR($A27="",$C27=""),"",IF(G27="","",IF(G27=0,0,H27/G27)))</f>
        <v/>
      </c>
      <c r="J27" s="10" t="str">
        <f aca="false">IF(OR($A27="",$C27=""),"",IF(B27="Drink",Settings!$B$7,Settings!$B$6))</f>
        <v/>
      </c>
      <c r="K27" s="11" t="str">
        <f aca="false">IF(OR($A27="",$C27=""),"",IF(I27="","",IF(I27&lt;Settings!$B$8,"BELOW ALERT",IF(I27&lt;J27,"Under target","On target"))))</f>
        <v/>
      </c>
      <c r="L27" s="9" t="str">
        <f aca="false">IF(OR($A27="",$C27=""),"",E27/(1-J27))</f>
        <v/>
      </c>
      <c r="M27" s="9" t="str">
        <f aca="false">IF(OR($A27="",$C27=""),"",L27*(1+Settings!$B$5))</f>
        <v/>
      </c>
    </row>
    <row r="28" customFormat="false" ht="15" hidden="false" customHeight="false" outlineLevel="0" collapsed="false">
      <c r="A28" s="8"/>
      <c r="B28" s="8"/>
      <c r="C28" s="5"/>
      <c r="D28" s="4"/>
      <c r="E28" s="9" t="str">
        <f aca="false">IF(OR($A28="",$C28=""),"",C28*(1+N(D28)))</f>
        <v/>
      </c>
      <c r="F28" s="5"/>
      <c r="G28" s="9" t="str">
        <f aca="false">IF(OR($A28="",$C28=""),"",IF(F28="","",F28/(1+Settings!$B$5)))</f>
        <v/>
      </c>
      <c r="H28" s="9" t="str">
        <f aca="false">IF(OR($A28="",$C28=""),"",IF(G28="","",G28-E28))</f>
        <v/>
      </c>
      <c r="I28" s="10" t="str">
        <f aca="false">IF(OR($A28="",$C28=""),"",IF(G28="","",IF(G28=0,0,H28/G28)))</f>
        <v/>
      </c>
      <c r="J28" s="10" t="str">
        <f aca="false">IF(OR($A28="",$C28=""),"",IF(B28="Drink",Settings!$B$7,Settings!$B$6))</f>
        <v/>
      </c>
      <c r="K28" s="11" t="str">
        <f aca="false">IF(OR($A28="",$C28=""),"",IF(I28="","",IF(I28&lt;Settings!$B$8,"BELOW ALERT",IF(I28&lt;J28,"Under target","On target"))))</f>
        <v/>
      </c>
      <c r="L28" s="9" t="str">
        <f aca="false">IF(OR($A28="",$C28=""),"",E28/(1-J28))</f>
        <v/>
      </c>
      <c r="M28" s="9" t="str">
        <f aca="false">IF(OR($A28="",$C28=""),"",L28*(1+Settings!$B$5))</f>
        <v/>
      </c>
    </row>
    <row r="29" customFormat="false" ht="15" hidden="false" customHeight="false" outlineLevel="0" collapsed="false">
      <c r="A29" s="8"/>
      <c r="B29" s="8"/>
      <c r="C29" s="5"/>
      <c r="D29" s="4"/>
      <c r="E29" s="9" t="str">
        <f aca="false">IF(OR($A29="",$C29=""),"",C29*(1+N(D29)))</f>
        <v/>
      </c>
      <c r="F29" s="5"/>
      <c r="G29" s="9" t="str">
        <f aca="false">IF(OR($A29="",$C29=""),"",IF(F29="","",F29/(1+Settings!$B$5)))</f>
        <v/>
      </c>
      <c r="H29" s="9" t="str">
        <f aca="false">IF(OR($A29="",$C29=""),"",IF(G29="","",G29-E29))</f>
        <v/>
      </c>
      <c r="I29" s="10" t="str">
        <f aca="false">IF(OR($A29="",$C29=""),"",IF(G29="","",IF(G29=0,0,H29/G29)))</f>
        <v/>
      </c>
      <c r="J29" s="10" t="str">
        <f aca="false">IF(OR($A29="",$C29=""),"",IF(B29="Drink",Settings!$B$7,Settings!$B$6))</f>
        <v/>
      </c>
      <c r="K29" s="11" t="str">
        <f aca="false">IF(OR($A29="",$C29=""),"",IF(I29="","",IF(I29&lt;Settings!$B$8,"BELOW ALERT",IF(I29&lt;J29,"Under target","On target"))))</f>
        <v/>
      </c>
      <c r="L29" s="9" t="str">
        <f aca="false">IF(OR($A29="",$C29=""),"",E29/(1-J29))</f>
        <v/>
      </c>
      <c r="M29" s="9" t="str">
        <f aca="false">IF(OR($A29="",$C29=""),"",L29*(1+Settings!$B$5))</f>
        <v/>
      </c>
    </row>
    <row r="30" customFormat="false" ht="15" hidden="false" customHeight="false" outlineLevel="0" collapsed="false">
      <c r="A30" s="8"/>
      <c r="B30" s="8"/>
      <c r="C30" s="5"/>
      <c r="D30" s="4"/>
      <c r="E30" s="9" t="str">
        <f aca="false">IF(OR($A30="",$C30=""),"",C30*(1+N(D30)))</f>
        <v/>
      </c>
      <c r="F30" s="5"/>
      <c r="G30" s="9" t="str">
        <f aca="false">IF(OR($A30="",$C30=""),"",IF(F30="","",F30/(1+Settings!$B$5)))</f>
        <v/>
      </c>
      <c r="H30" s="9" t="str">
        <f aca="false">IF(OR($A30="",$C30=""),"",IF(G30="","",G30-E30))</f>
        <v/>
      </c>
      <c r="I30" s="10" t="str">
        <f aca="false">IF(OR($A30="",$C30=""),"",IF(G30="","",IF(G30=0,0,H30/G30)))</f>
        <v/>
      </c>
      <c r="J30" s="10" t="str">
        <f aca="false">IF(OR($A30="",$C30=""),"",IF(B30="Drink",Settings!$B$7,Settings!$B$6))</f>
        <v/>
      </c>
      <c r="K30" s="11" t="str">
        <f aca="false">IF(OR($A30="",$C30=""),"",IF(I30="","",IF(I30&lt;Settings!$B$8,"BELOW ALERT",IF(I30&lt;J30,"Under target","On target"))))</f>
        <v/>
      </c>
      <c r="L30" s="9" t="str">
        <f aca="false">IF(OR($A30="",$C30=""),"",E30/(1-J30))</f>
        <v/>
      </c>
      <c r="M30" s="9" t="str">
        <f aca="false">IF(OR($A30="",$C30=""),"",L30*(1+Settings!$B$5))</f>
        <v/>
      </c>
    </row>
    <row r="31" customFormat="false" ht="15" hidden="false" customHeight="false" outlineLevel="0" collapsed="false">
      <c r="A31" s="8"/>
      <c r="B31" s="8"/>
      <c r="C31" s="5"/>
      <c r="D31" s="4"/>
      <c r="E31" s="9" t="str">
        <f aca="false">IF(OR($A31="",$C31=""),"",C31*(1+N(D31)))</f>
        <v/>
      </c>
      <c r="F31" s="5"/>
      <c r="G31" s="9" t="str">
        <f aca="false">IF(OR($A31="",$C31=""),"",IF(F31="","",F31/(1+Settings!$B$5)))</f>
        <v/>
      </c>
      <c r="H31" s="9" t="str">
        <f aca="false">IF(OR($A31="",$C31=""),"",IF(G31="","",G31-E31))</f>
        <v/>
      </c>
      <c r="I31" s="10" t="str">
        <f aca="false">IF(OR($A31="",$C31=""),"",IF(G31="","",IF(G31=0,0,H31/G31)))</f>
        <v/>
      </c>
      <c r="J31" s="10" t="str">
        <f aca="false">IF(OR($A31="",$C31=""),"",IF(B31="Drink",Settings!$B$7,Settings!$B$6))</f>
        <v/>
      </c>
      <c r="K31" s="11" t="str">
        <f aca="false">IF(OR($A31="",$C31=""),"",IF(I31="","",IF(I31&lt;Settings!$B$8,"BELOW ALERT",IF(I31&lt;J31,"Under target","On target"))))</f>
        <v/>
      </c>
      <c r="L31" s="9" t="str">
        <f aca="false">IF(OR($A31="",$C31=""),"",E31/(1-J31))</f>
        <v/>
      </c>
      <c r="M31" s="9" t="str">
        <f aca="false">IF(OR($A31="",$C31=""),"",L31*(1+Settings!$B$5))</f>
        <v/>
      </c>
    </row>
    <row r="32" customFormat="false" ht="15" hidden="false" customHeight="false" outlineLevel="0" collapsed="false">
      <c r="A32" s="8"/>
      <c r="B32" s="8"/>
      <c r="C32" s="5"/>
      <c r="D32" s="4"/>
      <c r="E32" s="9" t="str">
        <f aca="false">IF(OR($A32="",$C32=""),"",C32*(1+N(D32)))</f>
        <v/>
      </c>
      <c r="F32" s="5"/>
      <c r="G32" s="9" t="str">
        <f aca="false">IF(OR($A32="",$C32=""),"",IF(F32="","",F32/(1+Settings!$B$5)))</f>
        <v/>
      </c>
      <c r="H32" s="9" t="str">
        <f aca="false">IF(OR($A32="",$C32=""),"",IF(G32="","",G32-E32))</f>
        <v/>
      </c>
      <c r="I32" s="10" t="str">
        <f aca="false">IF(OR($A32="",$C32=""),"",IF(G32="","",IF(G32=0,0,H32/G32)))</f>
        <v/>
      </c>
      <c r="J32" s="10" t="str">
        <f aca="false">IF(OR($A32="",$C32=""),"",IF(B32="Drink",Settings!$B$7,Settings!$B$6))</f>
        <v/>
      </c>
      <c r="K32" s="11" t="str">
        <f aca="false">IF(OR($A32="",$C32=""),"",IF(I32="","",IF(I32&lt;Settings!$B$8,"BELOW ALERT",IF(I32&lt;J32,"Under target","On target"))))</f>
        <v/>
      </c>
      <c r="L32" s="9" t="str">
        <f aca="false">IF(OR($A32="",$C32=""),"",E32/(1-J32))</f>
        <v/>
      </c>
      <c r="M32" s="9" t="str">
        <f aca="false">IF(OR($A32="",$C32=""),"",L32*(1+Settings!$B$5))</f>
        <v/>
      </c>
    </row>
    <row r="33" customFormat="false" ht="15" hidden="false" customHeight="false" outlineLevel="0" collapsed="false">
      <c r="A33" s="8"/>
      <c r="B33" s="8"/>
      <c r="C33" s="5"/>
      <c r="D33" s="4"/>
      <c r="E33" s="9" t="str">
        <f aca="false">IF(OR($A33="",$C33=""),"",C33*(1+N(D33)))</f>
        <v/>
      </c>
      <c r="F33" s="5"/>
      <c r="G33" s="9" t="str">
        <f aca="false">IF(OR($A33="",$C33=""),"",IF(F33="","",F33/(1+Settings!$B$5)))</f>
        <v/>
      </c>
      <c r="H33" s="9" t="str">
        <f aca="false">IF(OR($A33="",$C33=""),"",IF(G33="","",G33-E33))</f>
        <v/>
      </c>
      <c r="I33" s="10" t="str">
        <f aca="false">IF(OR($A33="",$C33=""),"",IF(G33="","",IF(G33=0,0,H33/G33)))</f>
        <v/>
      </c>
      <c r="J33" s="10" t="str">
        <f aca="false">IF(OR($A33="",$C33=""),"",IF(B33="Drink",Settings!$B$7,Settings!$B$6))</f>
        <v/>
      </c>
      <c r="K33" s="11" t="str">
        <f aca="false">IF(OR($A33="",$C33=""),"",IF(I33="","",IF(I33&lt;Settings!$B$8,"BELOW ALERT",IF(I33&lt;J33,"Under target","On target"))))</f>
        <v/>
      </c>
      <c r="L33" s="9" t="str">
        <f aca="false">IF(OR($A33="",$C33=""),"",E33/(1-J33))</f>
        <v/>
      </c>
      <c r="M33" s="9" t="str">
        <f aca="false">IF(OR($A33="",$C33=""),"",L33*(1+Settings!$B$5))</f>
        <v/>
      </c>
    </row>
    <row r="34" customFormat="false" ht="15" hidden="false" customHeight="false" outlineLevel="0" collapsed="false">
      <c r="A34" s="8"/>
      <c r="B34" s="8"/>
      <c r="C34" s="5"/>
      <c r="D34" s="4"/>
      <c r="E34" s="9" t="str">
        <f aca="false">IF(OR($A34="",$C34=""),"",C34*(1+N(D34)))</f>
        <v/>
      </c>
      <c r="F34" s="5"/>
      <c r="G34" s="9" t="str">
        <f aca="false">IF(OR($A34="",$C34=""),"",IF(F34="","",F34/(1+Settings!$B$5)))</f>
        <v/>
      </c>
      <c r="H34" s="9" t="str">
        <f aca="false">IF(OR($A34="",$C34=""),"",IF(G34="","",G34-E34))</f>
        <v/>
      </c>
      <c r="I34" s="10" t="str">
        <f aca="false">IF(OR($A34="",$C34=""),"",IF(G34="","",IF(G34=0,0,H34/G34)))</f>
        <v/>
      </c>
      <c r="J34" s="10" t="str">
        <f aca="false">IF(OR($A34="",$C34=""),"",IF(B34="Drink",Settings!$B$7,Settings!$B$6))</f>
        <v/>
      </c>
      <c r="K34" s="11" t="str">
        <f aca="false">IF(OR($A34="",$C34=""),"",IF(I34="","",IF(I34&lt;Settings!$B$8,"BELOW ALERT",IF(I34&lt;J34,"Under target","On target"))))</f>
        <v/>
      </c>
      <c r="L34" s="9" t="str">
        <f aca="false">IF(OR($A34="",$C34=""),"",E34/(1-J34))</f>
        <v/>
      </c>
      <c r="M34" s="9" t="str">
        <f aca="false">IF(OR($A34="",$C34=""),"",L34*(1+Settings!$B$5))</f>
        <v/>
      </c>
    </row>
    <row r="35" customFormat="false" ht="15" hidden="false" customHeight="false" outlineLevel="0" collapsed="false">
      <c r="A35" s="8"/>
      <c r="B35" s="8"/>
      <c r="C35" s="5"/>
      <c r="D35" s="4"/>
      <c r="E35" s="9" t="str">
        <f aca="false">IF(OR($A35="",$C35=""),"",C35*(1+N(D35)))</f>
        <v/>
      </c>
      <c r="F35" s="5"/>
      <c r="G35" s="9" t="str">
        <f aca="false">IF(OR($A35="",$C35=""),"",IF(F35="","",F35/(1+Settings!$B$5)))</f>
        <v/>
      </c>
      <c r="H35" s="9" t="str">
        <f aca="false">IF(OR($A35="",$C35=""),"",IF(G35="","",G35-E35))</f>
        <v/>
      </c>
      <c r="I35" s="10" t="str">
        <f aca="false">IF(OR($A35="",$C35=""),"",IF(G35="","",IF(G35=0,0,H35/G35)))</f>
        <v/>
      </c>
      <c r="J35" s="10" t="str">
        <f aca="false">IF(OR($A35="",$C35=""),"",IF(B35="Drink",Settings!$B$7,Settings!$B$6))</f>
        <v/>
      </c>
      <c r="K35" s="11" t="str">
        <f aca="false">IF(OR($A35="",$C35=""),"",IF(I35="","",IF(I35&lt;Settings!$B$8,"BELOW ALERT",IF(I35&lt;J35,"Under target","On target"))))</f>
        <v/>
      </c>
      <c r="L35" s="9" t="str">
        <f aca="false">IF(OR($A35="",$C35=""),"",E35/(1-J35))</f>
        <v/>
      </c>
      <c r="M35" s="9" t="str">
        <f aca="false">IF(OR($A35="",$C35=""),"",L35*(1+Settings!$B$5))</f>
        <v/>
      </c>
    </row>
    <row r="36" customFormat="false" ht="15" hidden="false" customHeight="false" outlineLevel="0" collapsed="false">
      <c r="A36" s="8"/>
      <c r="B36" s="8"/>
      <c r="C36" s="5"/>
      <c r="D36" s="4"/>
      <c r="E36" s="9" t="str">
        <f aca="false">IF(OR($A36="",$C36=""),"",C36*(1+N(D36)))</f>
        <v/>
      </c>
      <c r="F36" s="5"/>
      <c r="G36" s="9" t="str">
        <f aca="false">IF(OR($A36="",$C36=""),"",IF(F36="","",F36/(1+Settings!$B$5)))</f>
        <v/>
      </c>
      <c r="H36" s="9" t="str">
        <f aca="false">IF(OR($A36="",$C36=""),"",IF(G36="","",G36-E36))</f>
        <v/>
      </c>
      <c r="I36" s="10" t="str">
        <f aca="false">IF(OR($A36="",$C36=""),"",IF(G36="","",IF(G36=0,0,H36/G36)))</f>
        <v/>
      </c>
      <c r="J36" s="10" t="str">
        <f aca="false">IF(OR($A36="",$C36=""),"",IF(B36="Drink",Settings!$B$7,Settings!$B$6))</f>
        <v/>
      </c>
      <c r="K36" s="11" t="str">
        <f aca="false">IF(OR($A36="",$C36=""),"",IF(I36="","",IF(I36&lt;Settings!$B$8,"BELOW ALERT",IF(I36&lt;J36,"Under target","On target"))))</f>
        <v/>
      </c>
      <c r="L36" s="9" t="str">
        <f aca="false">IF(OR($A36="",$C36=""),"",E36/(1-J36))</f>
        <v/>
      </c>
      <c r="M36" s="9" t="str">
        <f aca="false">IF(OR($A36="",$C36=""),"",L36*(1+Settings!$B$5))</f>
        <v/>
      </c>
    </row>
    <row r="37" customFormat="false" ht="15" hidden="false" customHeight="false" outlineLevel="0" collapsed="false">
      <c r="A37" s="8"/>
      <c r="B37" s="8"/>
      <c r="C37" s="5"/>
      <c r="D37" s="4"/>
      <c r="E37" s="9" t="str">
        <f aca="false">IF(OR($A37="",$C37=""),"",C37*(1+N(D37)))</f>
        <v/>
      </c>
      <c r="F37" s="5"/>
      <c r="G37" s="9" t="str">
        <f aca="false">IF(OR($A37="",$C37=""),"",IF(F37="","",F37/(1+Settings!$B$5)))</f>
        <v/>
      </c>
      <c r="H37" s="9" t="str">
        <f aca="false">IF(OR($A37="",$C37=""),"",IF(G37="","",G37-E37))</f>
        <v/>
      </c>
      <c r="I37" s="10" t="str">
        <f aca="false">IF(OR($A37="",$C37=""),"",IF(G37="","",IF(G37=0,0,H37/G37)))</f>
        <v/>
      </c>
      <c r="J37" s="10" t="str">
        <f aca="false">IF(OR($A37="",$C37=""),"",IF(B37="Drink",Settings!$B$7,Settings!$B$6))</f>
        <v/>
      </c>
      <c r="K37" s="11" t="str">
        <f aca="false">IF(OR($A37="",$C37=""),"",IF(I37="","",IF(I37&lt;Settings!$B$8,"BELOW ALERT",IF(I37&lt;J37,"Under target","On target"))))</f>
        <v/>
      </c>
      <c r="L37" s="9" t="str">
        <f aca="false">IF(OR($A37="",$C37=""),"",E37/(1-J37))</f>
        <v/>
      </c>
      <c r="M37" s="9" t="str">
        <f aca="false">IF(OR($A37="",$C37=""),"",L37*(1+Settings!$B$5))</f>
        <v/>
      </c>
    </row>
    <row r="38" customFormat="false" ht="15" hidden="false" customHeight="false" outlineLevel="0" collapsed="false">
      <c r="A38" s="8"/>
      <c r="B38" s="8"/>
      <c r="C38" s="5"/>
      <c r="D38" s="4"/>
      <c r="E38" s="9" t="str">
        <f aca="false">IF(OR($A38="",$C38=""),"",C38*(1+N(D38)))</f>
        <v/>
      </c>
      <c r="F38" s="5"/>
      <c r="G38" s="9" t="str">
        <f aca="false">IF(OR($A38="",$C38=""),"",IF(F38="","",F38/(1+Settings!$B$5)))</f>
        <v/>
      </c>
      <c r="H38" s="9" t="str">
        <f aca="false">IF(OR($A38="",$C38=""),"",IF(G38="","",G38-E38))</f>
        <v/>
      </c>
      <c r="I38" s="10" t="str">
        <f aca="false">IF(OR($A38="",$C38=""),"",IF(G38="","",IF(G38=0,0,H38/G38)))</f>
        <v/>
      </c>
      <c r="J38" s="10" t="str">
        <f aca="false">IF(OR($A38="",$C38=""),"",IF(B38="Drink",Settings!$B$7,Settings!$B$6))</f>
        <v/>
      </c>
      <c r="K38" s="11" t="str">
        <f aca="false">IF(OR($A38="",$C38=""),"",IF(I38="","",IF(I38&lt;Settings!$B$8,"BELOW ALERT",IF(I38&lt;J38,"Under target","On target"))))</f>
        <v/>
      </c>
      <c r="L38" s="9" t="str">
        <f aca="false">IF(OR($A38="",$C38=""),"",E38/(1-J38))</f>
        <v/>
      </c>
      <c r="M38" s="9" t="str">
        <f aca="false">IF(OR($A38="",$C38=""),"",L38*(1+Settings!$B$5))</f>
        <v/>
      </c>
    </row>
    <row r="39" customFormat="false" ht="15" hidden="false" customHeight="false" outlineLevel="0" collapsed="false">
      <c r="A39" s="8"/>
      <c r="B39" s="8"/>
      <c r="C39" s="5"/>
      <c r="D39" s="4"/>
      <c r="E39" s="9" t="str">
        <f aca="false">IF(OR($A39="",$C39=""),"",C39*(1+N(D39)))</f>
        <v/>
      </c>
      <c r="F39" s="5"/>
      <c r="G39" s="9" t="str">
        <f aca="false">IF(OR($A39="",$C39=""),"",IF(F39="","",F39/(1+Settings!$B$5)))</f>
        <v/>
      </c>
      <c r="H39" s="9" t="str">
        <f aca="false">IF(OR($A39="",$C39=""),"",IF(G39="","",G39-E39))</f>
        <v/>
      </c>
      <c r="I39" s="10" t="str">
        <f aca="false">IF(OR($A39="",$C39=""),"",IF(G39="","",IF(G39=0,0,H39/G39)))</f>
        <v/>
      </c>
      <c r="J39" s="10" t="str">
        <f aca="false">IF(OR($A39="",$C39=""),"",IF(B39="Drink",Settings!$B$7,Settings!$B$6))</f>
        <v/>
      </c>
      <c r="K39" s="11" t="str">
        <f aca="false">IF(OR($A39="",$C39=""),"",IF(I39="","",IF(I39&lt;Settings!$B$8,"BELOW ALERT",IF(I39&lt;J39,"Under target","On target"))))</f>
        <v/>
      </c>
      <c r="L39" s="9" t="str">
        <f aca="false">IF(OR($A39="",$C39=""),"",E39/(1-J39))</f>
        <v/>
      </c>
      <c r="M39" s="9" t="str">
        <f aca="false">IF(OR($A39="",$C39=""),"",L39*(1+Settings!$B$5))</f>
        <v/>
      </c>
    </row>
    <row r="40" customFormat="false" ht="15" hidden="false" customHeight="false" outlineLevel="0" collapsed="false">
      <c r="A40" s="8"/>
      <c r="B40" s="8"/>
      <c r="C40" s="5"/>
      <c r="D40" s="4"/>
      <c r="E40" s="9" t="str">
        <f aca="false">IF(OR($A40="",$C40=""),"",C40*(1+N(D40)))</f>
        <v/>
      </c>
      <c r="F40" s="5"/>
      <c r="G40" s="9" t="str">
        <f aca="false">IF(OR($A40="",$C40=""),"",IF(F40="","",F40/(1+Settings!$B$5)))</f>
        <v/>
      </c>
      <c r="H40" s="9" t="str">
        <f aca="false">IF(OR($A40="",$C40=""),"",IF(G40="","",G40-E40))</f>
        <v/>
      </c>
      <c r="I40" s="10" t="str">
        <f aca="false">IF(OR($A40="",$C40=""),"",IF(G40="","",IF(G40=0,0,H40/G40)))</f>
        <v/>
      </c>
      <c r="J40" s="10" t="str">
        <f aca="false">IF(OR($A40="",$C40=""),"",IF(B40="Drink",Settings!$B$7,Settings!$B$6))</f>
        <v/>
      </c>
      <c r="K40" s="11" t="str">
        <f aca="false">IF(OR($A40="",$C40=""),"",IF(I40="","",IF(I40&lt;Settings!$B$8,"BELOW ALERT",IF(I40&lt;J40,"Under target","On target"))))</f>
        <v/>
      </c>
      <c r="L40" s="9" t="str">
        <f aca="false">IF(OR($A40="",$C40=""),"",E40/(1-J40))</f>
        <v/>
      </c>
      <c r="M40" s="9" t="str">
        <f aca="false">IF(OR($A40="",$C40=""),"",L40*(1+Settings!$B$5))</f>
        <v/>
      </c>
    </row>
    <row r="41" customFormat="false" ht="15" hidden="false" customHeight="false" outlineLevel="0" collapsed="false">
      <c r="A41" s="8"/>
      <c r="B41" s="8"/>
      <c r="C41" s="5"/>
      <c r="D41" s="4"/>
      <c r="E41" s="9" t="str">
        <f aca="false">IF(OR($A41="",$C41=""),"",C41*(1+N(D41)))</f>
        <v/>
      </c>
      <c r="F41" s="5"/>
      <c r="G41" s="9" t="str">
        <f aca="false">IF(OR($A41="",$C41=""),"",IF(F41="","",F41/(1+Settings!$B$5)))</f>
        <v/>
      </c>
      <c r="H41" s="9" t="str">
        <f aca="false">IF(OR($A41="",$C41=""),"",IF(G41="","",G41-E41))</f>
        <v/>
      </c>
      <c r="I41" s="10" t="str">
        <f aca="false">IF(OR($A41="",$C41=""),"",IF(G41="","",IF(G41=0,0,H41/G41)))</f>
        <v/>
      </c>
      <c r="J41" s="10" t="str">
        <f aca="false">IF(OR($A41="",$C41=""),"",IF(B41="Drink",Settings!$B$7,Settings!$B$6))</f>
        <v/>
      </c>
      <c r="K41" s="11" t="str">
        <f aca="false">IF(OR($A41="",$C41=""),"",IF(I41="","",IF(I41&lt;Settings!$B$8,"BELOW ALERT",IF(I41&lt;J41,"Under target","On target"))))</f>
        <v/>
      </c>
      <c r="L41" s="9" t="str">
        <f aca="false">IF(OR($A41="",$C41=""),"",E41/(1-J41))</f>
        <v/>
      </c>
      <c r="M41" s="9" t="str">
        <f aca="false">IF(OR($A41="",$C41=""),"",L41*(1+Settings!$B$5))</f>
        <v/>
      </c>
    </row>
    <row r="42" customFormat="false" ht="15" hidden="false" customHeight="false" outlineLevel="0" collapsed="false">
      <c r="A42" s="8"/>
      <c r="B42" s="8"/>
      <c r="C42" s="5"/>
      <c r="D42" s="4"/>
      <c r="E42" s="9" t="str">
        <f aca="false">IF(OR($A42="",$C42=""),"",C42*(1+N(D42)))</f>
        <v/>
      </c>
      <c r="F42" s="5"/>
      <c r="G42" s="9" t="str">
        <f aca="false">IF(OR($A42="",$C42=""),"",IF(F42="","",F42/(1+Settings!$B$5)))</f>
        <v/>
      </c>
      <c r="H42" s="9" t="str">
        <f aca="false">IF(OR($A42="",$C42=""),"",IF(G42="","",G42-E42))</f>
        <v/>
      </c>
      <c r="I42" s="10" t="str">
        <f aca="false">IF(OR($A42="",$C42=""),"",IF(G42="","",IF(G42=0,0,H42/G42)))</f>
        <v/>
      </c>
      <c r="J42" s="10" t="str">
        <f aca="false">IF(OR($A42="",$C42=""),"",IF(B42="Drink",Settings!$B$7,Settings!$B$6))</f>
        <v/>
      </c>
      <c r="K42" s="11" t="str">
        <f aca="false">IF(OR($A42="",$C42=""),"",IF(I42="","",IF(I42&lt;Settings!$B$8,"BELOW ALERT",IF(I42&lt;J42,"Under target","On target"))))</f>
        <v/>
      </c>
      <c r="L42" s="9" t="str">
        <f aca="false">IF(OR($A42="",$C42=""),"",E42/(1-J42))</f>
        <v/>
      </c>
      <c r="M42" s="9" t="str">
        <f aca="false">IF(OR($A42="",$C42=""),"",L42*(1+Settings!$B$5))</f>
        <v/>
      </c>
    </row>
    <row r="43" customFormat="false" ht="15" hidden="false" customHeight="false" outlineLevel="0" collapsed="false">
      <c r="A43" s="8"/>
      <c r="B43" s="8"/>
      <c r="C43" s="5"/>
      <c r="D43" s="4"/>
      <c r="E43" s="9" t="str">
        <f aca="false">IF(OR($A43="",$C43=""),"",C43*(1+N(D43)))</f>
        <v/>
      </c>
      <c r="F43" s="5"/>
      <c r="G43" s="9" t="str">
        <f aca="false">IF(OR($A43="",$C43=""),"",IF(F43="","",F43/(1+Settings!$B$5)))</f>
        <v/>
      </c>
      <c r="H43" s="9" t="str">
        <f aca="false">IF(OR($A43="",$C43=""),"",IF(G43="","",G43-E43))</f>
        <v/>
      </c>
      <c r="I43" s="10" t="str">
        <f aca="false">IF(OR($A43="",$C43=""),"",IF(G43="","",IF(G43=0,0,H43/G43)))</f>
        <v/>
      </c>
      <c r="J43" s="10" t="str">
        <f aca="false">IF(OR($A43="",$C43=""),"",IF(B43="Drink",Settings!$B$7,Settings!$B$6))</f>
        <v/>
      </c>
      <c r="K43" s="11" t="str">
        <f aca="false">IF(OR($A43="",$C43=""),"",IF(I43="","",IF(I43&lt;Settings!$B$8,"BELOW ALERT",IF(I43&lt;J43,"Under target","On target"))))</f>
        <v/>
      </c>
      <c r="L43" s="9" t="str">
        <f aca="false">IF(OR($A43="",$C43=""),"",E43/(1-J43))</f>
        <v/>
      </c>
      <c r="M43" s="9" t="str">
        <f aca="false">IF(OR($A43="",$C43=""),"",L43*(1+Settings!$B$5))</f>
        <v/>
      </c>
    </row>
    <row r="44" customFormat="false" ht="15" hidden="false" customHeight="false" outlineLevel="0" collapsed="false">
      <c r="A44" s="8"/>
      <c r="B44" s="8"/>
      <c r="C44" s="5"/>
      <c r="D44" s="4"/>
      <c r="E44" s="9" t="str">
        <f aca="false">IF(OR($A44="",$C44=""),"",C44*(1+N(D44)))</f>
        <v/>
      </c>
      <c r="F44" s="5"/>
      <c r="G44" s="9" t="str">
        <f aca="false">IF(OR($A44="",$C44=""),"",IF(F44="","",F44/(1+Settings!$B$5)))</f>
        <v/>
      </c>
      <c r="H44" s="9" t="str">
        <f aca="false">IF(OR($A44="",$C44=""),"",IF(G44="","",G44-E44))</f>
        <v/>
      </c>
      <c r="I44" s="10" t="str">
        <f aca="false">IF(OR($A44="",$C44=""),"",IF(G44="","",IF(G44=0,0,H44/G44)))</f>
        <v/>
      </c>
      <c r="J44" s="10" t="str">
        <f aca="false">IF(OR($A44="",$C44=""),"",IF(B44="Drink",Settings!$B$7,Settings!$B$6))</f>
        <v/>
      </c>
      <c r="K44" s="11" t="str">
        <f aca="false">IF(OR($A44="",$C44=""),"",IF(I44="","",IF(I44&lt;Settings!$B$8,"BELOW ALERT",IF(I44&lt;J44,"Under target","On target"))))</f>
        <v/>
      </c>
      <c r="L44" s="9" t="str">
        <f aca="false">IF(OR($A44="",$C44=""),"",E44/(1-J44))</f>
        <v/>
      </c>
      <c r="M44" s="9" t="str">
        <f aca="false">IF(OR($A44="",$C44=""),"",L44*(1+Settings!$B$5))</f>
        <v/>
      </c>
    </row>
    <row r="45" customFormat="false" ht="15" hidden="false" customHeight="false" outlineLevel="0" collapsed="false">
      <c r="A45" s="8"/>
      <c r="B45" s="8"/>
      <c r="C45" s="5"/>
      <c r="D45" s="4"/>
      <c r="E45" s="9" t="str">
        <f aca="false">IF(OR($A45="",$C45=""),"",C45*(1+N(D45)))</f>
        <v/>
      </c>
      <c r="F45" s="5"/>
      <c r="G45" s="9" t="str">
        <f aca="false">IF(OR($A45="",$C45=""),"",IF(F45="","",F45/(1+Settings!$B$5)))</f>
        <v/>
      </c>
      <c r="H45" s="9" t="str">
        <f aca="false">IF(OR($A45="",$C45=""),"",IF(G45="","",G45-E45))</f>
        <v/>
      </c>
      <c r="I45" s="10" t="str">
        <f aca="false">IF(OR($A45="",$C45=""),"",IF(G45="","",IF(G45=0,0,H45/G45)))</f>
        <v/>
      </c>
      <c r="J45" s="10" t="str">
        <f aca="false">IF(OR($A45="",$C45=""),"",IF(B45="Drink",Settings!$B$7,Settings!$B$6))</f>
        <v/>
      </c>
      <c r="K45" s="11" t="str">
        <f aca="false">IF(OR($A45="",$C45=""),"",IF(I45="","",IF(I45&lt;Settings!$B$8,"BELOW ALERT",IF(I45&lt;J45,"Under target","On target"))))</f>
        <v/>
      </c>
      <c r="L45" s="9" t="str">
        <f aca="false">IF(OR($A45="",$C45=""),"",E45/(1-J45))</f>
        <v/>
      </c>
      <c r="M45" s="9" t="str">
        <f aca="false">IF(OR($A45="",$C45=""),"",L45*(1+Settings!$B$5))</f>
        <v/>
      </c>
    </row>
  </sheetData>
  <conditionalFormatting sqref="K6:K45">
    <cfRule type="cellIs" priority="2" operator="equal" aboveAverage="0" equalAverage="0" bottom="0" percent="0" rank="0" text="" dxfId="0">
      <formula>"On target"</formula>
    </cfRule>
    <cfRule type="cellIs" priority="3" operator="equal" aboveAverage="0" equalAverage="0" bottom="0" percent="0" rank="0" text="" dxfId="1">
      <formula>"Under target"</formula>
    </cfRule>
    <cfRule type="cellIs" priority="4" operator="equal" aboveAverage="0" equalAverage="0" bottom="0" percent="0" rank="0" text="" dxfId="2">
      <formula>"BELOW ALERT"</formula>
    </cfRule>
  </conditionalFormatting>
  <dataValidations count="1">
    <dataValidation allowBlank="true" errorStyle="stop" operator="between" showDropDown="false" showErrorMessage="false" showInputMessage="false" sqref="B6:B45" type="list">
      <formula1>"Food,Drink"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2" t="s">
        <v>56</v>
      </c>
    </row>
    <row r="5" customFormat="false" ht="54" hidden="false" customHeight="true" outlineLevel="0" collapsed="false">
      <c r="A5" s="7" t="s">
        <v>38</v>
      </c>
      <c r="B5" s="7" t="s">
        <v>42</v>
      </c>
      <c r="C5" s="7" t="s">
        <v>57</v>
      </c>
      <c r="D5" s="7" t="s">
        <v>58</v>
      </c>
      <c r="E5" s="7" t="s">
        <v>59</v>
      </c>
      <c r="F5" s="7" t="s">
        <v>60</v>
      </c>
      <c r="G5" s="7" t="s">
        <v>61</v>
      </c>
      <c r="H5" s="7" t="s">
        <v>62</v>
      </c>
      <c r="I5" s="7" t="s">
        <v>45</v>
      </c>
      <c r="J5" s="7" t="s">
        <v>63</v>
      </c>
      <c r="K5" s="7" t="s">
        <v>64</v>
      </c>
      <c r="L5" s="7" t="s">
        <v>65</v>
      </c>
    </row>
    <row r="6" customFormat="false" ht="15" hidden="false" customHeight="false" outlineLevel="0" collapsed="false">
      <c r="A6" s="12" t="str">
        <f aca="false">IF('Dish Costing'!A6="","",'Dish Costing'!A6)</f>
        <v>Example dish</v>
      </c>
      <c r="B6" s="13" t="n">
        <f aca="false">IF(OR('Dish Costing'!$A6="",'Dish Costing'!$G6=""),"",'Dish Costing'!E6)</f>
        <v>4.77</v>
      </c>
      <c r="C6" s="13" t="n">
        <f aca="false">IF(OR('Dish Costing'!$A6="",'Dish Costing'!$G6=""),"",'Dish Costing'!G6)</f>
        <v>15</v>
      </c>
      <c r="D6" s="13" t="n">
        <f aca="false">IF(OR('Dish Costing'!$A6="",'Dish Costing'!$G6=""),"",Settings!$B$10)</f>
        <v>0.5</v>
      </c>
      <c r="E6" s="14" t="n">
        <f aca="false">IF(OR('Dish Costing'!$A6="",'Dish Costing'!$G6=""),"",Settings!$B$9)</f>
        <v>0.3</v>
      </c>
      <c r="F6" s="9" t="n">
        <f aca="false">IF(OR('Dish Costing'!$A6="",'Dish Costing'!$G6=""),"",(C6+D6)/(1-E6))</f>
        <v>22.1428571428571</v>
      </c>
      <c r="G6" s="9" t="n">
        <f aca="false">IF(OR('Dish Costing'!$A6="",'Dish Costing'!$G6=""),"",F6*(1+Settings!$B$5))</f>
        <v>26.5714285714286</v>
      </c>
      <c r="H6" s="9" t="n">
        <f aca="false">IF(OR('Dish Costing'!$A6="",'Dish Costing'!$G6=""),"",F6*(1-E6))</f>
        <v>15.5</v>
      </c>
      <c r="I6" s="9" t="n">
        <f aca="false">IF(OR('Dish Costing'!$A6="",'Dish Costing'!$G6=""),"",H6-D6-B6)</f>
        <v>10.23</v>
      </c>
      <c r="J6" s="10" t="n">
        <f aca="false">IF(OR('Dish Costing'!$A6="",'Dish Costing'!$G6=""),"",IF(H6=0,0,I6/H6))</f>
        <v>0.66</v>
      </c>
      <c r="K6" s="9" t="n">
        <f aca="false">IF(OR('Dish Costing'!$A6="",'Dish Costing'!$G6=""),"",((B6+D6)/(1-'Dish Costing'!J6))/(1-E6))</f>
        <v>25.0952380952381</v>
      </c>
      <c r="L6" s="9" t="n">
        <f aca="false">IF(OR('Dish Costing'!$A6="",'Dish Costing'!$G6=""),"",K6*(1+Settings!$B$5))</f>
        <v>30.1142857142857</v>
      </c>
    </row>
    <row r="7" customFormat="false" ht="15" hidden="false" customHeight="false" outlineLevel="0" collapsed="false">
      <c r="A7" s="12" t="str">
        <f aca="false">IF('Dish Costing'!A7="","",'Dish Costing'!A7)</f>
        <v>Example house wine (bottle)</v>
      </c>
      <c r="B7" s="13" t="n">
        <f aca="false">IF(OR('Dish Costing'!$A7="",'Dish Costing'!$G7=""),"",'Dish Costing'!E7)</f>
        <v>6.12</v>
      </c>
      <c r="C7" s="13" t="n">
        <f aca="false">IF(OR('Dish Costing'!$A7="",'Dish Costing'!$G7=""),"",'Dish Costing'!G7)</f>
        <v>24</v>
      </c>
      <c r="D7" s="13" t="n">
        <f aca="false">IF(OR('Dish Costing'!$A7="",'Dish Costing'!$G7=""),"",Settings!$B$10)</f>
        <v>0.5</v>
      </c>
      <c r="E7" s="14" t="n">
        <f aca="false">IF(OR('Dish Costing'!$A7="",'Dish Costing'!$G7=""),"",Settings!$B$9)</f>
        <v>0.3</v>
      </c>
      <c r="F7" s="9" t="n">
        <f aca="false">IF(OR('Dish Costing'!$A7="",'Dish Costing'!$G7=""),"",(C7+D7)/(1-E7))</f>
        <v>35</v>
      </c>
      <c r="G7" s="9" t="n">
        <f aca="false">IF(OR('Dish Costing'!$A7="",'Dish Costing'!$G7=""),"",F7*(1+Settings!$B$5))</f>
        <v>42</v>
      </c>
      <c r="H7" s="9" t="n">
        <f aca="false">IF(OR('Dish Costing'!$A7="",'Dish Costing'!$G7=""),"",F7*(1-E7))</f>
        <v>24.5</v>
      </c>
      <c r="I7" s="9" t="n">
        <f aca="false">IF(OR('Dish Costing'!$A7="",'Dish Costing'!$G7=""),"",H7-D7-B7)</f>
        <v>17.88</v>
      </c>
      <c r="J7" s="10" t="n">
        <f aca="false">IF(OR('Dish Costing'!$A7="",'Dish Costing'!$G7=""),"",IF(H7=0,0,I7/H7))</f>
        <v>0.729795918367347</v>
      </c>
      <c r="K7" s="9" t="n">
        <f aca="false">IF(OR('Dish Costing'!$A7="",'Dish Costing'!$G7=""),"",((B7+D7)/(1-'Dish Costing'!J7))/(1-E7))</f>
        <v>31.5238095238095</v>
      </c>
      <c r="L7" s="9" t="n">
        <f aca="false">IF(OR('Dish Costing'!$A7="",'Dish Costing'!$G7=""),"",K7*(1+Settings!$B$5))</f>
        <v>37.8285714285714</v>
      </c>
    </row>
    <row r="8" customFormat="false" ht="15" hidden="false" customHeight="false" outlineLevel="0" collapsed="false">
      <c r="A8" s="12" t="str">
        <f aca="false">IF('Dish Costing'!A8="","",'Dish Costing'!A8)</f>
        <v/>
      </c>
      <c r="B8" s="13" t="str">
        <f aca="false">IF(OR('Dish Costing'!$A8="",'Dish Costing'!$G8=""),"",'Dish Costing'!E8)</f>
        <v/>
      </c>
      <c r="C8" s="13" t="str">
        <f aca="false">IF(OR('Dish Costing'!$A8="",'Dish Costing'!$G8=""),"",'Dish Costing'!G8)</f>
        <v/>
      </c>
      <c r="D8" s="13" t="str">
        <f aca="false">IF(OR('Dish Costing'!$A8="",'Dish Costing'!$G8=""),"",Settings!$B$10)</f>
        <v/>
      </c>
      <c r="E8" s="14" t="str">
        <f aca="false">IF(OR('Dish Costing'!$A8="",'Dish Costing'!$G8=""),"",Settings!$B$9)</f>
        <v/>
      </c>
      <c r="F8" s="9" t="str">
        <f aca="false">IF(OR('Dish Costing'!$A8="",'Dish Costing'!$G8=""),"",(C8+D8)/(1-E8))</f>
        <v/>
      </c>
      <c r="G8" s="9" t="str">
        <f aca="false">IF(OR('Dish Costing'!$A8="",'Dish Costing'!$G8=""),"",F8*(1+Settings!$B$5))</f>
        <v/>
      </c>
      <c r="H8" s="9" t="str">
        <f aca="false">IF(OR('Dish Costing'!$A8="",'Dish Costing'!$G8=""),"",F8*(1-E8))</f>
        <v/>
      </c>
      <c r="I8" s="9" t="str">
        <f aca="false">IF(OR('Dish Costing'!$A8="",'Dish Costing'!$G8=""),"",H8-D8-B8)</f>
        <v/>
      </c>
      <c r="J8" s="10" t="str">
        <f aca="false">IF(OR('Dish Costing'!$A8="",'Dish Costing'!$G8=""),"",IF(H8=0,0,I8/H8))</f>
        <v/>
      </c>
      <c r="K8" s="9" t="str">
        <f aca="false">IF(OR('Dish Costing'!$A8="",'Dish Costing'!$G8=""),"",((B8+D8)/(1-'Dish Costing'!J8))/(1-E8))</f>
        <v/>
      </c>
      <c r="L8" s="9" t="str">
        <f aca="false">IF(OR('Dish Costing'!$A8="",'Dish Costing'!$G8=""),"",K8*(1+Settings!$B$5))</f>
        <v/>
      </c>
    </row>
    <row r="9" customFormat="false" ht="15" hidden="false" customHeight="false" outlineLevel="0" collapsed="false">
      <c r="A9" s="12" t="str">
        <f aca="false">IF('Dish Costing'!A9="","",'Dish Costing'!A9)</f>
        <v/>
      </c>
      <c r="B9" s="13" t="str">
        <f aca="false">IF(OR('Dish Costing'!$A9="",'Dish Costing'!$G9=""),"",'Dish Costing'!E9)</f>
        <v/>
      </c>
      <c r="C9" s="13" t="str">
        <f aca="false">IF(OR('Dish Costing'!$A9="",'Dish Costing'!$G9=""),"",'Dish Costing'!G9)</f>
        <v/>
      </c>
      <c r="D9" s="13" t="str">
        <f aca="false">IF(OR('Dish Costing'!$A9="",'Dish Costing'!$G9=""),"",Settings!$B$10)</f>
        <v/>
      </c>
      <c r="E9" s="14" t="str">
        <f aca="false">IF(OR('Dish Costing'!$A9="",'Dish Costing'!$G9=""),"",Settings!$B$9)</f>
        <v/>
      </c>
      <c r="F9" s="9" t="str">
        <f aca="false">IF(OR('Dish Costing'!$A9="",'Dish Costing'!$G9=""),"",(C9+D9)/(1-E9))</f>
        <v/>
      </c>
      <c r="G9" s="9" t="str">
        <f aca="false">IF(OR('Dish Costing'!$A9="",'Dish Costing'!$G9=""),"",F9*(1+Settings!$B$5))</f>
        <v/>
      </c>
      <c r="H9" s="9" t="str">
        <f aca="false">IF(OR('Dish Costing'!$A9="",'Dish Costing'!$G9=""),"",F9*(1-E9))</f>
        <v/>
      </c>
      <c r="I9" s="9" t="str">
        <f aca="false">IF(OR('Dish Costing'!$A9="",'Dish Costing'!$G9=""),"",H9-D9-B9)</f>
        <v/>
      </c>
      <c r="J9" s="10" t="str">
        <f aca="false">IF(OR('Dish Costing'!$A9="",'Dish Costing'!$G9=""),"",IF(H9=0,0,I9/H9))</f>
        <v/>
      </c>
      <c r="K9" s="9" t="str">
        <f aca="false">IF(OR('Dish Costing'!$A9="",'Dish Costing'!$G9=""),"",((B9+D9)/(1-'Dish Costing'!J9))/(1-E9))</f>
        <v/>
      </c>
      <c r="L9" s="9" t="str">
        <f aca="false">IF(OR('Dish Costing'!$A9="",'Dish Costing'!$G9=""),"",K9*(1+Settings!$B$5))</f>
        <v/>
      </c>
    </row>
    <row r="10" customFormat="false" ht="15" hidden="false" customHeight="false" outlineLevel="0" collapsed="false">
      <c r="A10" s="12" t="str">
        <f aca="false">IF('Dish Costing'!A10="","",'Dish Costing'!A10)</f>
        <v/>
      </c>
      <c r="B10" s="13" t="str">
        <f aca="false">IF(OR('Dish Costing'!$A10="",'Dish Costing'!$G10=""),"",'Dish Costing'!E10)</f>
        <v/>
      </c>
      <c r="C10" s="13" t="str">
        <f aca="false">IF(OR('Dish Costing'!$A10="",'Dish Costing'!$G10=""),"",'Dish Costing'!G10)</f>
        <v/>
      </c>
      <c r="D10" s="13" t="str">
        <f aca="false">IF(OR('Dish Costing'!$A10="",'Dish Costing'!$G10=""),"",Settings!$B$10)</f>
        <v/>
      </c>
      <c r="E10" s="14" t="str">
        <f aca="false">IF(OR('Dish Costing'!$A10="",'Dish Costing'!$G10=""),"",Settings!$B$9)</f>
        <v/>
      </c>
      <c r="F10" s="9" t="str">
        <f aca="false">IF(OR('Dish Costing'!$A10="",'Dish Costing'!$G10=""),"",(C10+D10)/(1-E10))</f>
        <v/>
      </c>
      <c r="G10" s="9" t="str">
        <f aca="false">IF(OR('Dish Costing'!$A10="",'Dish Costing'!$G10=""),"",F10*(1+Settings!$B$5))</f>
        <v/>
      </c>
      <c r="H10" s="9" t="str">
        <f aca="false">IF(OR('Dish Costing'!$A10="",'Dish Costing'!$G10=""),"",F10*(1-E10))</f>
        <v/>
      </c>
      <c r="I10" s="9" t="str">
        <f aca="false">IF(OR('Dish Costing'!$A10="",'Dish Costing'!$G10=""),"",H10-D10-B10)</f>
        <v/>
      </c>
      <c r="J10" s="10" t="str">
        <f aca="false">IF(OR('Dish Costing'!$A10="",'Dish Costing'!$G10=""),"",IF(H10=0,0,I10/H10))</f>
        <v/>
      </c>
      <c r="K10" s="9" t="str">
        <f aca="false">IF(OR('Dish Costing'!$A10="",'Dish Costing'!$G10=""),"",((B10+D10)/(1-'Dish Costing'!J10))/(1-E10))</f>
        <v/>
      </c>
      <c r="L10" s="9" t="str">
        <f aca="false">IF(OR('Dish Costing'!$A10="",'Dish Costing'!$G10=""),"",K10*(1+Settings!$B$5))</f>
        <v/>
      </c>
    </row>
    <row r="11" customFormat="false" ht="15" hidden="false" customHeight="false" outlineLevel="0" collapsed="false">
      <c r="A11" s="12" t="str">
        <f aca="false">IF('Dish Costing'!A11="","",'Dish Costing'!A11)</f>
        <v/>
      </c>
      <c r="B11" s="13" t="str">
        <f aca="false">IF(OR('Dish Costing'!$A11="",'Dish Costing'!$G11=""),"",'Dish Costing'!E11)</f>
        <v/>
      </c>
      <c r="C11" s="13" t="str">
        <f aca="false">IF(OR('Dish Costing'!$A11="",'Dish Costing'!$G11=""),"",'Dish Costing'!G11)</f>
        <v/>
      </c>
      <c r="D11" s="13" t="str">
        <f aca="false">IF(OR('Dish Costing'!$A11="",'Dish Costing'!$G11=""),"",Settings!$B$10)</f>
        <v/>
      </c>
      <c r="E11" s="14" t="str">
        <f aca="false">IF(OR('Dish Costing'!$A11="",'Dish Costing'!$G11=""),"",Settings!$B$9)</f>
        <v/>
      </c>
      <c r="F11" s="9" t="str">
        <f aca="false">IF(OR('Dish Costing'!$A11="",'Dish Costing'!$G11=""),"",(C11+D11)/(1-E11))</f>
        <v/>
      </c>
      <c r="G11" s="9" t="str">
        <f aca="false">IF(OR('Dish Costing'!$A11="",'Dish Costing'!$G11=""),"",F11*(1+Settings!$B$5))</f>
        <v/>
      </c>
      <c r="H11" s="9" t="str">
        <f aca="false">IF(OR('Dish Costing'!$A11="",'Dish Costing'!$G11=""),"",F11*(1-E11))</f>
        <v/>
      </c>
      <c r="I11" s="9" t="str">
        <f aca="false">IF(OR('Dish Costing'!$A11="",'Dish Costing'!$G11=""),"",H11-D11-B11)</f>
        <v/>
      </c>
      <c r="J11" s="10" t="str">
        <f aca="false">IF(OR('Dish Costing'!$A11="",'Dish Costing'!$G11=""),"",IF(H11=0,0,I11/H11))</f>
        <v/>
      </c>
      <c r="K11" s="9" t="str">
        <f aca="false">IF(OR('Dish Costing'!$A11="",'Dish Costing'!$G11=""),"",((B11+D11)/(1-'Dish Costing'!J11))/(1-E11))</f>
        <v/>
      </c>
      <c r="L11" s="9" t="str">
        <f aca="false">IF(OR('Dish Costing'!$A11="",'Dish Costing'!$G11=""),"",K11*(1+Settings!$B$5))</f>
        <v/>
      </c>
    </row>
    <row r="12" customFormat="false" ht="15" hidden="false" customHeight="false" outlineLevel="0" collapsed="false">
      <c r="A12" s="12" t="str">
        <f aca="false">IF('Dish Costing'!A12="","",'Dish Costing'!A12)</f>
        <v/>
      </c>
      <c r="B12" s="13" t="str">
        <f aca="false">IF(OR('Dish Costing'!$A12="",'Dish Costing'!$G12=""),"",'Dish Costing'!E12)</f>
        <v/>
      </c>
      <c r="C12" s="13" t="str">
        <f aca="false">IF(OR('Dish Costing'!$A12="",'Dish Costing'!$G12=""),"",'Dish Costing'!G12)</f>
        <v/>
      </c>
      <c r="D12" s="13" t="str">
        <f aca="false">IF(OR('Dish Costing'!$A12="",'Dish Costing'!$G12=""),"",Settings!$B$10)</f>
        <v/>
      </c>
      <c r="E12" s="14" t="str">
        <f aca="false">IF(OR('Dish Costing'!$A12="",'Dish Costing'!$G12=""),"",Settings!$B$9)</f>
        <v/>
      </c>
      <c r="F12" s="9" t="str">
        <f aca="false">IF(OR('Dish Costing'!$A12="",'Dish Costing'!$G12=""),"",(C12+D12)/(1-E12))</f>
        <v/>
      </c>
      <c r="G12" s="9" t="str">
        <f aca="false">IF(OR('Dish Costing'!$A12="",'Dish Costing'!$G12=""),"",F12*(1+Settings!$B$5))</f>
        <v/>
      </c>
      <c r="H12" s="9" t="str">
        <f aca="false">IF(OR('Dish Costing'!$A12="",'Dish Costing'!$G12=""),"",F12*(1-E12))</f>
        <v/>
      </c>
      <c r="I12" s="9" t="str">
        <f aca="false">IF(OR('Dish Costing'!$A12="",'Dish Costing'!$G12=""),"",H12-D12-B12)</f>
        <v/>
      </c>
      <c r="J12" s="10" t="str">
        <f aca="false">IF(OR('Dish Costing'!$A12="",'Dish Costing'!$G12=""),"",IF(H12=0,0,I12/H12))</f>
        <v/>
      </c>
      <c r="K12" s="9" t="str">
        <f aca="false">IF(OR('Dish Costing'!$A12="",'Dish Costing'!$G12=""),"",((B12+D12)/(1-'Dish Costing'!J12))/(1-E12))</f>
        <v/>
      </c>
      <c r="L12" s="9" t="str">
        <f aca="false">IF(OR('Dish Costing'!$A12="",'Dish Costing'!$G12=""),"",K12*(1+Settings!$B$5))</f>
        <v/>
      </c>
    </row>
    <row r="13" customFormat="false" ht="15" hidden="false" customHeight="false" outlineLevel="0" collapsed="false">
      <c r="A13" s="12" t="str">
        <f aca="false">IF('Dish Costing'!A13="","",'Dish Costing'!A13)</f>
        <v/>
      </c>
      <c r="B13" s="13" t="str">
        <f aca="false">IF(OR('Dish Costing'!$A13="",'Dish Costing'!$G13=""),"",'Dish Costing'!E13)</f>
        <v/>
      </c>
      <c r="C13" s="13" t="str">
        <f aca="false">IF(OR('Dish Costing'!$A13="",'Dish Costing'!$G13=""),"",'Dish Costing'!G13)</f>
        <v/>
      </c>
      <c r="D13" s="13" t="str">
        <f aca="false">IF(OR('Dish Costing'!$A13="",'Dish Costing'!$G13=""),"",Settings!$B$10)</f>
        <v/>
      </c>
      <c r="E13" s="14" t="str">
        <f aca="false">IF(OR('Dish Costing'!$A13="",'Dish Costing'!$G13=""),"",Settings!$B$9)</f>
        <v/>
      </c>
      <c r="F13" s="9" t="str">
        <f aca="false">IF(OR('Dish Costing'!$A13="",'Dish Costing'!$G13=""),"",(C13+D13)/(1-E13))</f>
        <v/>
      </c>
      <c r="G13" s="9" t="str">
        <f aca="false">IF(OR('Dish Costing'!$A13="",'Dish Costing'!$G13=""),"",F13*(1+Settings!$B$5))</f>
        <v/>
      </c>
      <c r="H13" s="9" t="str">
        <f aca="false">IF(OR('Dish Costing'!$A13="",'Dish Costing'!$G13=""),"",F13*(1-E13))</f>
        <v/>
      </c>
      <c r="I13" s="9" t="str">
        <f aca="false">IF(OR('Dish Costing'!$A13="",'Dish Costing'!$G13=""),"",H13-D13-B13)</f>
        <v/>
      </c>
      <c r="J13" s="10" t="str">
        <f aca="false">IF(OR('Dish Costing'!$A13="",'Dish Costing'!$G13=""),"",IF(H13=0,0,I13/H13))</f>
        <v/>
      </c>
      <c r="K13" s="9" t="str">
        <f aca="false">IF(OR('Dish Costing'!$A13="",'Dish Costing'!$G13=""),"",((B13+D13)/(1-'Dish Costing'!J13))/(1-E13))</f>
        <v/>
      </c>
      <c r="L13" s="9" t="str">
        <f aca="false">IF(OR('Dish Costing'!$A13="",'Dish Costing'!$G13=""),"",K13*(1+Settings!$B$5))</f>
        <v/>
      </c>
    </row>
    <row r="14" customFormat="false" ht="15" hidden="false" customHeight="false" outlineLevel="0" collapsed="false">
      <c r="A14" s="12" t="str">
        <f aca="false">IF('Dish Costing'!A14="","",'Dish Costing'!A14)</f>
        <v/>
      </c>
      <c r="B14" s="13" t="str">
        <f aca="false">IF(OR('Dish Costing'!$A14="",'Dish Costing'!$G14=""),"",'Dish Costing'!E14)</f>
        <v/>
      </c>
      <c r="C14" s="13" t="str">
        <f aca="false">IF(OR('Dish Costing'!$A14="",'Dish Costing'!$G14=""),"",'Dish Costing'!G14)</f>
        <v/>
      </c>
      <c r="D14" s="13" t="str">
        <f aca="false">IF(OR('Dish Costing'!$A14="",'Dish Costing'!$G14=""),"",Settings!$B$10)</f>
        <v/>
      </c>
      <c r="E14" s="14" t="str">
        <f aca="false">IF(OR('Dish Costing'!$A14="",'Dish Costing'!$G14=""),"",Settings!$B$9)</f>
        <v/>
      </c>
      <c r="F14" s="9" t="str">
        <f aca="false">IF(OR('Dish Costing'!$A14="",'Dish Costing'!$G14=""),"",(C14+D14)/(1-E14))</f>
        <v/>
      </c>
      <c r="G14" s="9" t="str">
        <f aca="false">IF(OR('Dish Costing'!$A14="",'Dish Costing'!$G14=""),"",F14*(1+Settings!$B$5))</f>
        <v/>
      </c>
      <c r="H14" s="9" t="str">
        <f aca="false">IF(OR('Dish Costing'!$A14="",'Dish Costing'!$G14=""),"",F14*(1-E14))</f>
        <v/>
      </c>
      <c r="I14" s="9" t="str">
        <f aca="false">IF(OR('Dish Costing'!$A14="",'Dish Costing'!$G14=""),"",H14-D14-B14)</f>
        <v/>
      </c>
      <c r="J14" s="10" t="str">
        <f aca="false">IF(OR('Dish Costing'!$A14="",'Dish Costing'!$G14=""),"",IF(H14=0,0,I14/H14))</f>
        <v/>
      </c>
      <c r="K14" s="9" t="str">
        <f aca="false">IF(OR('Dish Costing'!$A14="",'Dish Costing'!$G14=""),"",((B14+D14)/(1-'Dish Costing'!J14))/(1-E14))</f>
        <v/>
      </c>
      <c r="L14" s="9" t="str">
        <f aca="false">IF(OR('Dish Costing'!$A14="",'Dish Costing'!$G14=""),"",K14*(1+Settings!$B$5))</f>
        <v/>
      </c>
    </row>
    <row r="15" customFormat="false" ht="15" hidden="false" customHeight="false" outlineLevel="0" collapsed="false">
      <c r="A15" s="12" t="str">
        <f aca="false">IF('Dish Costing'!A15="","",'Dish Costing'!A15)</f>
        <v/>
      </c>
      <c r="B15" s="13" t="str">
        <f aca="false">IF(OR('Dish Costing'!$A15="",'Dish Costing'!$G15=""),"",'Dish Costing'!E15)</f>
        <v/>
      </c>
      <c r="C15" s="13" t="str">
        <f aca="false">IF(OR('Dish Costing'!$A15="",'Dish Costing'!$G15=""),"",'Dish Costing'!G15)</f>
        <v/>
      </c>
      <c r="D15" s="13" t="str">
        <f aca="false">IF(OR('Dish Costing'!$A15="",'Dish Costing'!$G15=""),"",Settings!$B$10)</f>
        <v/>
      </c>
      <c r="E15" s="14" t="str">
        <f aca="false">IF(OR('Dish Costing'!$A15="",'Dish Costing'!$G15=""),"",Settings!$B$9)</f>
        <v/>
      </c>
      <c r="F15" s="9" t="str">
        <f aca="false">IF(OR('Dish Costing'!$A15="",'Dish Costing'!$G15=""),"",(C15+D15)/(1-E15))</f>
        <v/>
      </c>
      <c r="G15" s="9" t="str">
        <f aca="false">IF(OR('Dish Costing'!$A15="",'Dish Costing'!$G15=""),"",F15*(1+Settings!$B$5))</f>
        <v/>
      </c>
      <c r="H15" s="9" t="str">
        <f aca="false">IF(OR('Dish Costing'!$A15="",'Dish Costing'!$G15=""),"",F15*(1-E15))</f>
        <v/>
      </c>
      <c r="I15" s="9" t="str">
        <f aca="false">IF(OR('Dish Costing'!$A15="",'Dish Costing'!$G15=""),"",H15-D15-B15)</f>
        <v/>
      </c>
      <c r="J15" s="10" t="str">
        <f aca="false">IF(OR('Dish Costing'!$A15="",'Dish Costing'!$G15=""),"",IF(H15=0,0,I15/H15))</f>
        <v/>
      </c>
      <c r="K15" s="9" t="str">
        <f aca="false">IF(OR('Dish Costing'!$A15="",'Dish Costing'!$G15=""),"",((B15+D15)/(1-'Dish Costing'!J15))/(1-E15))</f>
        <v/>
      </c>
      <c r="L15" s="9" t="str">
        <f aca="false">IF(OR('Dish Costing'!$A15="",'Dish Costing'!$G15=""),"",K15*(1+Settings!$B$5))</f>
        <v/>
      </c>
    </row>
    <row r="16" customFormat="false" ht="15" hidden="false" customHeight="false" outlineLevel="0" collapsed="false">
      <c r="A16" s="12" t="str">
        <f aca="false">IF('Dish Costing'!A16="","",'Dish Costing'!A16)</f>
        <v/>
      </c>
      <c r="B16" s="13" t="str">
        <f aca="false">IF(OR('Dish Costing'!$A16="",'Dish Costing'!$G16=""),"",'Dish Costing'!E16)</f>
        <v/>
      </c>
      <c r="C16" s="13" t="str">
        <f aca="false">IF(OR('Dish Costing'!$A16="",'Dish Costing'!$G16=""),"",'Dish Costing'!G16)</f>
        <v/>
      </c>
      <c r="D16" s="13" t="str">
        <f aca="false">IF(OR('Dish Costing'!$A16="",'Dish Costing'!$G16=""),"",Settings!$B$10)</f>
        <v/>
      </c>
      <c r="E16" s="14" t="str">
        <f aca="false">IF(OR('Dish Costing'!$A16="",'Dish Costing'!$G16=""),"",Settings!$B$9)</f>
        <v/>
      </c>
      <c r="F16" s="9" t="str">
        <f aca="false">IF(OR('Dish Costing'!$A16="",'Dish Costing'!$G16=""),"",(C16+D16)/(1-E16))</f>
        <v/>
      </c>
      <c r="G16" s="9" t="str">
        <f aca="false">IF(OR('Dish Costing'!$A16="",'Dish Costing'!$G16=""),"",F16*(1+Settings!$B$5))</f>
        <v/>
      </c>
      <c r="H16" s="9" t="str">
        <f aca="false">IF(OR('Dish Costing'!$A16="",'Dish Costing'!$G16=""),"",F16*(1-E16))</f>
        <v/>
      </c>
      <c r="I16" s="9" t="str">
        <f aca="false">IF(OR('Dish Costing'!$A16="",'Dish Costing'!$G16=""),"",H16-D16-B16)</f>
        <v/>
      </c>
      <c r="J16" s="10" t="str">
        <f aca="false">IF(OR('Dish Costing'!$A16="",'Dish Costing'!$G16=""),"",IF(H16=0,0,I16/H16))</f>
        <v/>
      </c>
      <c r="K16" s="9" t="str">
        <f aca="false">IF(OR('Dish Costing'!$A16="",'Dish Costing'!$G16=""),"",((B16+D16)/(1-'Dish Costing'!J16))/(1-E16))</f>
        <v/>
      </c>
      <c r="L16" s="9" t="str">
        <f aca="false">IF(OR('Dish Costing'!$A16="",'Dish Costing'!$G16=""),"",K16*(1+Settings!$B$5))</f>
        <v/>
      </c>
    </row>
    <row r="17" customFormat="false" ht="15" hidden="false" customHeight="false" outlineLevel="0" collapsed="false">
      <c r="A17" s="12" t="str">
        <f aca="false">IF('Dish Costing'!A17="","",'Dish Costing'!A17)</f>
        <v/>
      </c>
      <c r="B17" s="13" t="str">
        <f aca="false">IF(OR('Dish Costing'!$A17="",'Dish Costing'!$G17=""),"",'Dish Costing'!E17)</f>
        <v/>
      </c>
      <c r="C17" s="13" t="str">
        <f aca="false">IF(OR('Dish Costing'!$A17="",'Dish Costing'!$G17=""),"",'Dish Costing'!G17)</f>
        <v/>
      </c>
      <c r="D17" s="13" t="str">
        <f aca="false">IF(OR('Dish Costing'!$A17="",'Dish Costing'!$G17=""),"",Settings!$B$10)</f>
        <v/>
      </c>
      <c r="E17" s="14" t="str">
        <f aca="false">IF(OR('Dish Costing'!$A17="",'Dish Costing'!$G17=""),"",Settings!$B$9)</f>
        <v/>
      </c>
      <c r="F17" s="9" t="str">
        <f aca="false">IF(OR('Dish Costing'!$A17="",'Dish Costing'!$G17=""),"",(C17+D17)/(1-E17))</f>
        <v/>
      </c>
      <c r="G17" s="9" t="str">
        <f aca="false">IF(OR('Dish Costing'!$A17="",'Dish Costing'!$G17=""),"",F17*(1+Settings!$B$5))</f>
        <v/>
      </c>
      <c r="H17" s="9" t="str">
        <f aca="false">IF(OR('Dish Costing'!$A17="",'Dish Costing'!$G17=""),"",F17*(1-E17))</f>
        <v/>
      </c>
      <c r="I17" s="9" t="str">
        <f aca="false">IF(OR('Dish Costing'!$A17="",'Dish Costing'!$G17=""),"",H17-D17-B17)</f>
        <v/>
      </c>
      <c r="J17" s="10" t="str">
        <f aca="false">IF(OR('Dish Costing'!$A17="",'Dish Costing'!$G17=""),"",IF(H17=0,0,I17/H17))</f>
        <v/>
      </c>
      <c r="K17" s="9" t="str">
        <f aca="false">IF(OR('Dish Costing'!$A17="",'Dish Costing'!$G17=""),"",((B17+D17)/(1-'Dish Costing'!J17))/(1-E17))</f>
        <v/>
      </c>
      <c r="L17" s="9" t="str">
        <f aca="false">IF(OR('Dish Costing'!$A17="",'Dish Costing'!$G17=""),"",K17*(1+Settings!$B$5))</f>
        <v/>
      </c>
    </row>
    <row r="18" customFormat="false" ht="15" hidden="false" customHeight="false" outlineLevel="0" collapsed="false">
      <c r="A18" s="12" t="str">
        <f aca="false">IF('Dish Costing'!A18="","",'Dish Costing'!A18)</f>
        <v/>
      </c>
      <c r="B18" s="13" t="str">
        <f aca="false">IF(OR('Dish Costing'!$A18="",'Dish Costing'!$G18=""),"",'Dish Costing'!E18)</f>
        <v/>
      </c>
      <c r="C18" s="13" t="str">
        <f aca="false">IF(OR('Dish Costing'!$A18="",'Dish Costing'!$G18=""),"",'Dish Costing'!G18)</f>
        <v/>
      </c>
      <c r="D18" s="13" t="str">
        <f aca="false">IF(OR('Dish Costing'!$A18="",'Dish Costing'!$G18=""),"",Settings!$B$10)</f>
        <v/>
      </c>
      <c r="E18" s="14" t="str">
        <f aca="false">IF(OR('Dish Costing'!$A18="",'Dish Costing'!$G18=""),"",Settings!$B$9)</f>
        <v/>
      </c>
      <c r="F18" s="9" t="str">
        <f aca="false">IF(OR('Dish Costing'!$A18="",'Dish Costing'!$G18=""),"",(C18+D18)/(1-E18))</f>
        <v/>
      </c>
      <c r="G18" s="9" t="str">
        <f aca="false">IF(OR('Dish Costing'!$A18="",'Dish Costing'!$G18=""),"",F18*(1+Settings!$B$5))</f>
        <v/>
      </c>
      <c r="H18" s="9" t="str">
        <f aca="false">IF(OR('Dish Costing'!$A18="",'Dish Costing'!$G18=""),"",F18*(1-E18))</f>
        <v/>
      </c>
      <c r="I18" s="9" t="str">
        <f aca="false">IF(OR('Dish Costing'!$A18="",'Dish Costing'!$G18=""),"",H18-D18-B18)</f>
        <v/>
      </c>
      <c r="J18" s="10" t="str">
        <f aca="false">IF(OR('Dish Costing'!$A18="",'Dish Costing'!$G18=""),"",IF(H18=0,0,I18/H18))</f>
        <v/>
      </c>
      <c r="K18" s="9" t="str">
        <f aca="false">IF(OR('Dish Costing'!$A18="",'Dish Costing'!$G18=""),"",((B18+D18)/(1-'Dish Costing'!J18))/(1-E18))</f>
        <v/>
      </c>
      <c r="L18" s="9" t="str">
        <f aca="false">IF(OR('Dish Costing'!$A18="",'Dish Costing'!$G18=""),"",K18*(1+Settings!$B$5))</f>
        <v/>
      </c>
    </row>
    <row r="19" customFormat="false" ht="15" hidden="false" customHeight="false" outlineLevel="0" collapsed="false">
      <c r="A19" s="12" t="str">
        <f aca="false">IF('Dish Costing'!A19="","",'Dish Costing'!A19)</f>
        <v/>
      </c>
      <c r="B19" s="13" t="str">
        <f aca="false">IF(OR('Dish Costing'!$A19="",'Dish Costing'!$G19=""),"",'Dish Costing'!E19)</f>
        <v/>
      </c>
      <c r="C19" s="13" t="str">
        <f aca="false">IF(OR('Dish Costing'!$A19="",'Dish Costing'!$G19=""),"",'Dish Costing'!G19)</f>
        <v/>
      </c>
      <c r="D19" s="13" t="str">
        <f aca="false">IF(OR('Dish Costing'!$A19="",'Dish Costing'!$G19=""),"",Settings!$B$10)</f>
        <v/>
      </c>
      <c r="E19" s="14" t="str">
        <f aca="false">IF(OR('Dish Costing'!$A19="",'Dish Costing'!$G19=""),"",Settings!$B$9)</f>
        <v/>
      </c>
      <c r="F19" s="9" t="str">
        <f aca="false">IF(OR('Dish Costing'!$A19="",'Dish Costing'!$G19=""),"",(C19+D19)/(1-E19))</f>
        <v/>
      </c>
      <c r="G19" s="9" t="str">
        <f aca="false">IF(OR('Dish Costing'!$A19="",'Dish Costing'!$G19=""),"",F19*(1+Settings!$B$5))</f>
        <v/>
      </c>
      <c r="H19" s="9" t="str">
        <f aca="false">IF(OR('Dish Costing'!$A19="",'Dish Costing'!$G19=""),"",F19*(1-E19))</f>
        <v/>
      </c>
      <c r="I19" s="9" t="str">
        <f aca="false">IF(OR('Dish Costing'!$A19="",'Dish Costing'!$G19=""),"",H19-D19-B19)</f>
        <v/>
      </c>
      <c r="J19" s="10" t="str">
        <f aca="false">IF(OR('Dish Costing'!$A19="",'Dish Costing'!$G19=""),"",IF(H19=0,0,I19/H19))</f>
        <v/>
      </c>
      <c r="K19" s="9" t="str">
        <f aca="false">IF(OR('Dish Costing'!$A19="",'Dish Costing'!$G19=""),"",((B19+D19)/(1-'Dish Costing'!J19))/(1-E19))</f>
        <v/>
      </c>
      <c r="L19" s="9" t="str">
        <f aca="false">IF(OR('Dish Costing'!$A19="",'Dish Costing'!$G19=""),"",K19*(1+Settings!$B$5))</f>
        <v/>
      </c>
    </row>
    <row r="20" customFormat="false" ht="15" hidden="false" customHeight="false" outlineLevel="0" collapsed="false">
      <c r="A20" s="12" t="str">
        <f aca="false">IF('Dish Costing'!A20="","",'Dish Costing'!A20)</f>
        <v/>
      </c>
      <c r="B20" s="13" t="str">
        <f aca="false">IF(OR('Dish Costing'!$A20="",'Dish Costing'!$G20=""),"",'Dish Costing'!E20)</f>
        <v/>
      </c>
      <c r="C20" s="13" t="str">
        <f aca="false">IF(OR('Dish Costing'!$A20="",'Dish Costing'!$G20=""),"",'Dish Costing'!G20)</f>
        <v/>
      </c>
      <c r="D20" s="13" t="str">
        <f aca="false">IF(OR('Dish Costing'!$A20="",'Dish Costing'!$G20=""),"",Settings!$B$10)</f>
        <v/>
      </c>
      <c r="E20" s="14" t="str">
        <f aca="false">IF(OR('Dish Costing'!$A20="",'Dish Costing'!$G20=""),"",Settings!$B$9)</f>
        <v/>
      </c>
      <c r="F20" s="9" t="str">
        <f aca="false">IF(OR('Dish Costing'!$A20="",'Dish Costing'!$G20=""),"",(C20+D20)/(1-E20))</f>
        <v/>
      </c>
      <c r="G20" s="9" t="str">
        <f aca="false">IF(OR('Dish Costing'!$A20="",'Dish Costing'!$G20=""),"",F20*(1+Settings!$B$5))</f>
        <v/>
      </c>
      <c r="H20" s="9" t="str">
        <f aca="false">IF(OR('Dish Costing'!$A20="",'Dish Costing'!$G20=""),"",F20*(1-E20))</f>
        <v/>
      </c>
      <c r="I20" s="9" t="str">
        <f aca="false">IF(OR('Dish Costing'!$A20="",'Dish Costing'!$G20=""),"",H20-D20-B20)</f>
        <v/>
      </c>
      <c r="J20" s="10" t="str">
        <f aca="false">IF(OR('Dish Costing'!$A20="",'Dish Costing'!$G20=""),"",IF(H20=0,0,I20/H20))</f>
        <v/>
      </c>
      <c r="K20" s="9" t="str">
        <f aca="false">IF(OR('Dish Costing'!$A20="",'Dish Costing'!$G20=""),"",((B20+D20)/(1-'Dish Costing'!J20))/(1-E20))</f>
        <v/>
      </c>
      <c r="L20" s="9" t="str">
        <f aca="false">IF(OR('Dish Costing'!$A20="",'Dish Costing'!$G20=""),"",K20*(1+Settings!$B$5))</f>
        <v/>
      </c>
    </row>
    <row r="21" customFormat="false" ht="15" hidden="false" customHeight="false" outlineLevel="0" collapsed="false">
      <c r="A21" s="12" t="str">
        <f aca="false">IF('Dish Costing'!A21="","",'Dish Costing'!A21)</f>
        <v/>
      </c>
      <c r="B21" s="13" t="str">
        <f aca="false">IF(OR('Dish Costing'!$A21="",'Dish Costing'!$G21=""),"",'Dish Costing'!E21)</f>
        <v/>
      </c>
      <c r="C21" s="13" t="str">
        <f aca="false">IF(OR('Dish Costing'!$A21="",'Dish Costing'!$G21=""),"",'Dish Costing'!G21)</f>
        <v/>
      </c>
      <c r="D21" s="13" t="str">
        <f aca="false">IF(OR('Dish Costing'!$A21="",'Dish Costing'!$G21=""),"",Settings!$B$10)</f>
        <v/>
      </c>
      <c r="E21" s="14" t="str">
        <f aca="false">IF(OR('Dish Costing'!$A21="",'Dish Costing'!$G21=""),"",Settings!$B$9)</f>
        <v/>
      </c>
      <c r="F21" s="9" t="str">
        <f aca="false">IF(OR('Dish Costing'!$A21="",'Dish Costing'!$G21=""),"",(C21+D21)/(1-E21))</f>
        <v/>
      </c>
      <c r="G21" s="9" t="str">
        <f aca="false">IF(OR('Dish Costing'!$A21="",'Dish Costing'!$G21=""),"",F21*(1+Settings!$B$5))</f>
        <v/>
      </c>
      <c r="H21" s="9" t="str">
        <f aca="false">IF(OR('Dish Costing'!$A21="",'Dish Costing'!$G21=""),"",F21*(1-E21))</f>
        <v/>
      </c>
      <c r="I21" s="9" t="str">
        <f aca="false">IF(OR('Dish Costing'!$A21="",'Dish Costing'!$G21=""),"",H21-D21-B21)</f>
        <v/>
      </c>
      <c r="J21" s="10" t="str">
        <f aca="false">IF(OR('Dish Costing'!$A21="",'Dish Costing'!$G21=""),"",IF(H21=0,0,I21/H21))</f>
        <v/>
      </c>
      <c r="K21" s="9" t="str">
        <f aca="false">IF(OR('Dish Costing'!$A21="",'Dish Costing'!$G21=""),"",((B21+D21)/(1-'Dish Costing'!J21))/(1-E21))</f>
        <v/>
      </c>
      <c r="L21" s="9" t="str">
        <f aca="false">IF(OR('Dish Costing'!$A21="",'Dish Costing'!$G21=""),"",K21*(1+Settings!$B$5))</f>
        <v/>
      </c>
    </row>
    <row r="22" customFormat="false" ht="15" hidden="false" customHeight="false" outlineLevel="0" collapsed="false">
      <c r="A22" s="12" t="str">
        <f aca="false">IF('Dish Costing'!A22="","",'Dish Costing'!A22)</f>
        <v/>
      </c>
      <c r="B22" s="13" t="str">
        <f aca="false">IF(OR('Dish Costing'!$A22="",'Dish Costing'!$G22=""),"",'Dish Costing'!E22)</f>
        <v/>
      </c>
      <c r="C22" s="13" t="str">
        <f aca="false">IF(OR('Dish Costing'!$A22="",'Dish Costing'!$G22=""),"",'Dish Costing'!G22)</f>
        <v/>
      </c>
      <c r="D22" s="13" t="str">
        <f aca="false">IF(OR('Dish Costing'!$A22="",'Dish Costing'!$G22=""),"",Settings!$B$10)</f>
        <v/>
      </c>
      <c r="E22" s="14" t="str">
        <f aca="false">IF(OR('Dish Costing'!$A22="",'Dish Costing'!$G22=""),"",Settings!$B$9)</f>
        <v/>
      </c>
      <c r="F22" s="9" t="str">
        <f aca="false">IF(OR('Dish Costing'!$A22="",'Dish Costing'!$G22=""),"",(C22+D22)/(1-E22))</f>
        <v/>
      </c>
      <c r="G22" s="9" t="str">
        <f aca="false">IF(OR('Dish Costing'!$A22="",'Dish Costing'!$G22=""),"",F22*(1+Settings!$B$5))</f>
        <v/>
      </c>
      <c r="H22" s="9" t="str">
        <f aca="false">IF(OR('Dish Costing'!$A22="",'Dish Costing'!$G22=""),"",F22*(1-E22))</f>
        <v/>
      </c>
      <c r="I22" s="9" t="str">
        <f aca="false">IF(OR('Dish Costing'!$A22="",'Dish Costing'!$G22=""),"",H22-D22-B22)</f>
        <v/>
      </c>
      <c r="J22" s="10" t="str">
        <f aca="false">IF(OR('Dish Costing'!$A22="",'Dish Costing'!$G22=""),"",IF(H22=0,0,I22/H22))</f>
        <v/>
      </c>
      <c r="K22" s="9" t="str">
        <f aca="false">IF(OR('Dish Costing'!$A22="",'Dish Costing'!$G22=""),"",((B22+D22)/(1-'Dish Costing'!J22))/(1-E22))</f>
        <v/>
      </c>
      <c r="L22" s="9" t="str">
        <f aca="false">IF(OR('Dish Costing'!$A22="",'Dish Costing'!$G22=""),"",K22*(1+Settings!$B$5))</f>
        <v/>
      </c>
    </row>
    <row r="23" customFormat="false" ht="15" hidden="false" customHeight="false" outlineLevel="0" collapsed="false">
      <c r="A23" s="12" t="str">
        <f aca="false">IF('Dish Costing'!A23="","",'Dish Costing'!A23)</f>
        <v/>
      </c>
      <c r="B23" s="13" t="str">
        <f aca="false">IF(OR('Dish Costing'!$A23="",'Dish Costing'!$G23=""),"",'Dish Costing'!E23)</f>
        <v/>
      </c>
      <c r="C23" s="13" t="str">
        <f aca="false">IF(OR('Dish Costing'!$A23="",'Dish Costing'!$G23=""),"",'Dish Costing'!G23)</f>
        <v/>
      </c>
      <c r="D23" s="13" t="str">
        <f aca="false">IF(OR('Dish Costing'!$A23="",'Dish Costing'!$G23=""),"",Settings!$B$10)</f>
        <v/>
      </c>
      <c r="E23" s="14" t="str">
        <f aca="false">IF(OR('Dish Costing'!$A23="",'Dish Costing'!$G23=""),"",Settings!$B$9)</f>
        <v/>
      </c>
      <c r="F23" s="9" t="str">
        <f aca="false">IF(OR('Dish Costing'!$A23="",'Dish Costing'!$G23=""),"",(C23+D23)/(1-E23))</f>
        <v/>
      </c>
      <c r="G23" s="9" t="str">
        <f aca="false">IF(OR('Dish Costing'!$A23="",'Dish Costing'!$G23=""),"",F23*(1+Settings!$B$5))</f>
        <v/>
      </c>
      <c r="H23" s="9" t="str">
        <f aca="false">IF(OR('Dish Costing'!$A23="",'Dish Costing'!$G23=""),"",F23*(1-E23))</f>
        <v/>
      </c>
      <c r="I23" s="9" t="str">
        <f aca="false">IF(OR('Dish Costing'!$A23="",'Dish Costing'!$G23=""),"",H23-D23-B23)</f>
        <v/>
      </c>
      <c r="J23" s="10" t="str">
        <f aca="false">IF(OR('Dish Costing'!$A23="",'Dish Costing'!$G23=""),"",IF(H23=0,0,I23/H23))</f>
        <v/>
      </c>
      <c r="K23" s="9" t="str">
        <f aca="false">IF(OR('Dish Costing'!$A23="",'Dish Costing'!$G23=""),"",((B23+D23)/(1-'Dish Costing'!J23))/(1-E23))</f>
        <v/>
      </c>
      <c r="L23" s="9" t="str">
        <f aca="false">IF(OR('Dish Costing'!$A23="",'Dish Costing'!$G23=""),"",K23*(1+Settings!$B$5))</f>
        <v/>
      </c>
    </row>
    <row r="24" customFormat="false" ht="15" hidden="false" customHeight="false" outlineLevel="0" collapsed="false">
      <c r="A24" s="12" t="str">
        <f aca="false">IF('Dish Costing'!A24="","",'Dish Costing'!A24)</f>
        <v/>
      </c>
      <c r="B24" s="13" t="str">
        <f aca="false">IF(OR('Dish Costing'!$A24="",'Dish Costing'!$G24=""),"",'Dish Costing'!E24)</f>
        <v/>
      </c>
      <c r="C24" s="13" t="str">
        <f aca="false">IF(OR('Dish Costing'!$A24="",'Dish Costing'!$G24=""),"",'Dish Costing'!G24)</f>
        <v/>
      </c>
      <c r="D24" s="13" t="str">
        <f aca="false">IF(OR('Dish Costing'!$A24="",'Dish Costing'!$G24=""),"",Settings!$B$10)</f>
        <v/>
      </c>
      <c r="E24" s="14" t="str">
        <f aca="false">IF(OR('Dish Costing'!$A24="",'Dish Costing'!$G24=""),"",Settings!$B$9)</f>
        <v/>
      </c>
      <c r="F24" s="9" t="str">
        <f aca="false">IF(OR('Dish Costing'!$A24="",'Dish Costing'!$G24=""),"",(C24+D24)/(1-E24))</f>
        <v/>
      </c>
      <c r="G24" s="9" t="str">
        <f aca="false">IF(OR('Dish Costing'!$A24="",'Dish Costing'!$G24=""),"",F24*(1+Settings!$B$5))</f>
        <v/>
      </c>
      <c r="H24" s="9" t="str">
        <f aca="false">IF(OR('Dish Costing'!$A24="",'Dish Costing'!$G24=""),"",F24*(1-E24))</f>
        <v/>
      </c>
      <c r="I24" s="9" t="str">
        <f aca="false">IF(OR('Dish Costing'!$A24="",'Dish Costing'!$G24=""),"",H24-D24-B24)</f>
        <v/>
      </c>
      <c r="J24" s="10" t="str">
        <f aca="false">IF(OR('Dish Costing'!$A24="",'Dish Costing'!$G24=""),"",IF(H24=0,0,I24/H24))</f>
        <v/>
      </c>
      <c r="K24" s="9" t="str">
        <f aca="false">IF(OR('Dish Costing'!$A24="",'Dish Costing'!$G24=""),"",((B24+D24)/(1-'Dish Costing'!J24))/(1-E24))</f>
        <v/>
      </c>
      <c r="L24" s="9" t="str">
        <f aca="false">IF(OR('Dish Costing'!$A24="",'Dish Costing'!$G24=""),"",K24*(1+Settings!$B$5))</f>
        <v/>
      </c>
    </row>
    <row r="25" customFormat="false" ht="15" hidden="false" customHeight="false" outlineLevel="0" collapsed="false">
      <c r="A25" s="12" t="str">
        <f aca="false">IF('Dish Costing'!A25="","",'Dish Costing'!A25)</f>
        <v/>
      </c>
      <c r="B25" s="13" t="str">
        <f aca="false">IF(OR('Dish Costing'!$A25="",'Dish Costing'!$G25=""),"",'Dish Costing'!E25)</f>
        <v/>
      </c>
      <c r="C25" s="13" t="str">
        <f aca="false">IF(OR('Dish Costing'!$A25="",'Dish Costing'!$G25=""),"",'Dish Costing'!G25)</f>
        <v/>
      </c>
      <c r="D25" s="13" t="str">
        <f aca="false">IF(OR('Dish Costing'!$A25="",'Dish Costing'!$G25=""),"",Settings!$B$10)</f>
        <v/>
      </c>
      <c r="E25" s="14" t="str">
        <f aca="false">IF(OR('Dish Costing'!$A25="",'Dish Costing'!$G25=""),"",Settings!$B$9)</f>
        <v/>
      </c>
      <c r="F25" s="9" t="str">
        <f aca="false">IF(OR('Dish Costing'!$A25="",'Dish Costing'!$G25=""),"",(C25+D25)/(1-E25))</f>
        <v/>
      </c>
      <c r="G25" s="9" t="str">
        <f aca="false">IF(OR('Dish Costing'!$A25="",'Dish Costing'!$G25=""),"",F25*(1+Settings!$B$5))</f>
        <v/>
      </c>
      <c r="H25" s="9" t="str">
        <f aca="false">IF(OR('Dish Costing'!$A25="",'Dish Costing'!$G25=""),"",F25*(1-E25))</f>
        <v/>
      </c>
      <c r="I25" s="9" t="str">
        <f aca="false">IF(OR('Dish Costing'!$A25="",'Dish Costing'!$G25=""),"",H25-D25-B25)</f>
        <v/>
      </c>
      <c r="J25" s="10" t="str">
        <f aca="false">IF(OR('Dish Costing'!$A25="",'Dish Costing'!$G25=""),"",IF(H25=0,0,I25/H25))</f>
        <v/>
      </c>
      <c r="K25" s="9" t="str">
        <f aca="false">IF(OR('Dish Costing'!$A25="",'Dish Costing'!$G25=""),"",((B25+D25)/(1-'Dish Costing'!J25))/(1-E25))</f>
        <v/>
      </c>
      <c r="L25" s="9" t="str">
        <f aca="false">IF(OR('Dish Costing'!$A25="",'Dish Costing'!$G25=""),"",K25*(1+Settings!$B$5))</f>
        <v/>
      </c>
    </row>
    <row r="26" customFormat="false" ht="15" hidden="false" customHeight="false" outlineLevel="0" collapsed="false">
      <c r="A26" s="12" t="str">
        <f aca="false">IF('Dish Costing'!A26="","",'Dish Costing'!A26)</f>
        <v/>
      </c>
      <c r="B26" s="13" t="str">
        <f aca="false">IF(OR('Dish Costing'!$A26="",'Dish Costing'!$G26=""),"",'Dish Costing'!E26)</f>
        <v/>
      </c>
      <c r="C26" s="13" t="str">
        <f aca="false">IF(OR('Dish Costing'!$A26="",'Dish Costing'!$G26=""),"",'Dish Costing'!G26)</f>
        <v/>
      </c>
      <c r="D26" s="13" t="str">
        <f aca="false">IF(OR('Dish Costing'!$A26="",'Dish Costing'!$G26=""),"",Settings!$B$10)</f>
        <v/>
      </c>
      <c r="E26" s="14" t="str">
        <f aca="false">IF(OR('Dish Costing'!$A26="",'Dish Costing'!$G26=""),"",Settings!$B$9)</f>
        <v/>
      </c>
      <c r="F26" s="9" t="str">
        <f aca="false">IF(OR('Dish Costing'!$A26="",'Dish Costing'!$G26=""),"",(C26+D26)/(1-E26))</f>
        <v/>
      </c>
      <c r="G26" s="9" t="str">
        <f aca="false">IF(OR('Dish Costing'!$A26="",'Dish Costing'!$G26=""),"",F26*(1+Settings!$B$5))</f>
        <v/>
      </c>
      <c r="H26" s="9" t="str">
        <f aca="false">IF(OR('Dish Costing'!$A26="",'Dish Costing'!$G26=""),"",F26*(1-E26))</f>
        <v/>
      </c>
      <c r="I26" s="9" t="str">
        <f aca="false">IF(OR('Dish Costing'!$A26="",'Dish Costing'!$G26=""),"",H26-D26-B26)</f>
        <v/>
      </c>
      <c r="J26" s="10" t="str">
        <f aca="false">IF(OR('Dish Costing'!$A26="",'Dish Costing'!$G26=""),"",IF(H26=0,0,I26/H26))</f>
        <v/>
      </c>
      <c r="K26" s="9" t="str">
        <f aca="false">IF(OR('Dish Costing'!$A26="",'Dish Costing'!$G26=""),"",((B26+D26)/(1-'Dish Costing'!J26))/(1-E26))</f>
        <v/>
      </c>
      <c r="L26" s="9" t="str">
        <f aca="false">IF(OR('Dish Costing'!$A26="",'Dish Costing'!$G26=""),"",K26*(1+Settings!$B$5))</f>
        <v/>
      </c>
    </row>
    <row r="27" customFormat="false" ht="15" hidden="false" customHeight="false" outlineLevel="0" collapsed="false">
      <c r="A27" s="12" t="str">
        <f aca="false">IF('Dish Costing'!A27="","",'Dish Costing'!A27)</f>
        <v/>
      </c>
      <c r="B27" s="13" t="str">
        <f aca="false">IF(OR('Dish Costing'!$A27="",'Dish Costing'!$G27=""),"",'Dish Costing'!E27)</f>
        <v/>
      </c>
      <c r="C27" s="13" t="str">
        <f aca="false">IF(OR('Dish Costing'!$A27="",'Dish Costing'!$G27=""),"",'Dish Costing'!G27)</f>
        <v/>
      </c>
      <c r="D27" s="13" t="str">
        <f aca="false">IF(OR('Dish Costing'!$A27="",'Dish Costing'!$G27=""),"",Settings!$B$10)</f>
        <v/>
      </c>
      <c r="E27" s="14" t="str">
        <f aca="false">IF(OR('Dish Costing'!$A27="",'Dish Costing'!$G27=""),"",Settings!$B$9)</f>
        <v/>
      </c>
      <c r="F27" s="9" t="str">
        <f aca="false">IF(OR('Dish Costing'!$A27="",'Dish Costing'!$G27=""),"",(C27+D27)/(1-E27))</f>
        <v/>
      </c>
      <c r="G27" s="9" t="str">
        <f aca="false">IF(OR('Dish Costing'!$A27="",'Dish Costing'!$G27=""),"",F27*(1+Settings!$B$5))</f>
        <v/>
      </c>
      <c r="H27" s="9" t="str">
        <f aca="false">IF(OR('Dish Costing'!$A27="",'Dish Costing'!$G27=""),"",F27*(1-E27))</f>
        <v/>
      </c>
      <c r="I27" s="9" t="str">
        <f aca="false">IF(OR('Dish Costing'!$A27="",'Dish Costing'!$G27=""),"",H27-D27-B27)</f>
        <v/>
      </c>
      <c r="J27" s="10" t="str">
        <f aca="false">IF(OR('Dish Costing'!$A27="",'Dish Costing'!$G27=""),"",IF(H27=0,0,I27/H27))</f>
        <v/>
      </c>
      <c r="K27" s="9" t="str">
        <f aca="false">IF(OR('Dish Costing'!$A27="",'Dish Costing'!$G27=""),"",((B27+D27)/(1-'Dish Costing'!J27))/(1-E27))</f>
        <v/>
      </c>
      <c r="L27" s="9" t="str">
        <f aca="false">IF(OR('Dish Costing'!$A27="",'Dish Costing'!$G27=""),"",K27*(1+Settings!$B$5))</f>
        <v/>
      </c>
    </row>
    <row r="28" customFormat="false" ht="15" hidden="false" customHeight="false" outlineLevel="0" collapsed="false">
      <c r="A28" s="12" t="str">
        <f aca="false">IF('Dish Costing'!A28="","",'Dish Costing'!A28)</f>
        <v/>
      </c>
      <c r="B28" s="13" t="str">
        <f aca="false">IF(OR('Dish Costing'!$A28="",'Dish Costing'!$G28=""),"",'Dish Costing'!E28)</f>
        <v/>
      </c>
      <c r="C28" s="13" t="str">
        <f aca="false">IF(OR('Dish Costing'!$A28="",'Dish Costing'!$G28=""),"",'Dish Costing'!G28)</f>
        <v/>
      </c>
      <c r="D28" s="13" t="str">
        <f aca="false">IF(OR('Dish Costing'!$A28="",'Dish Costing'!$G28=""),"",Settings!$B$10)</f>
        <v/>
      </c>
      <c r="E28" s="14" t="str">
        <f aca="false">IF(OR('Dish Costing'!$A28="",'Dish Costing'!$G28=""),"",Settings!$B$9)</f>
        <v/>
      </c>
      <c r="F28" s="9" t="str">
        <f aca="false">IF(OR('Dish Costing'!$A28="",'Dish Costing'!$G28=""),"",(C28+D28)/(1-E28))</f>
        <v/>
      </c>
      <c r="G28" s="9" t="str">
        <f aca="false">IF(OR('Dish Costing'!$A28="",'Dish Costing'!$G28=""),"",F28*(1+Settings!$B$5))</f>
        <v/>
      </c>
      <c r="H28" s="9" t="str">
        <f aca="false">IF(OR('Dish Costing'!$A28="",'Dish Costing'!$G28=""),"",F28*(1-E28))</f>
        <v/>
      </c>
      <c r="I28" s="9" t="str">
        <f aca="false">IF(OR('Dish Costing'!$A28="",'Dish Costing'!$G28=""),"",H28-D28-B28)</f>
        <v/>
      </c>
      <c r="J28" s="10" t="str">
        <f aca="false">IF(OR('Dish Costing'!$A28="",'Dish Costing'!$G28=""),"",IF(H28=0,0,I28/H28))</f>
        <v/>
      </c>
      <c r="K28" s="9" t="str">
        <f aca="false">IF(OR('Dish Costing'!$A28="",'Dish Costing'!$G28=""),"",((B28+D28)/(1-'Dish Costing'!J28))/(1-E28))</f>
        <v/>
      </c>
      <c r="L28" s="9" t="str">
        <f aca="false">IF(OR('Dish Costing'!$A28="",'Dish Costing'!$G28=""),"",K28*(1+Settings!$B$5))</f>
        <v/>
      </c>
    </row>
    <row r="29" customFormat="false" ht="15" hidden="false" customHeight="false" outlineLevel="0" collapsed="false">
      <c r="A29" s="12" t="str">
        <f aca="false">IF('Dish Costing'!A29="","",'Dish Costing'!A29)</f>
        <v/>
      </c>
      <c r="B29" s="13" t="str">
        <f aca="false">IF(OR('Dish Costing'!$A29="",'Dish Costing'!$G29=""),"",'Dish Costing'!E29)</f>
        <v/>
      </c>
      <c r="C29" s="13" t="str">
        <f aca="false">IF(OR('Dish Costing'!$A29="",'Dish Costing'!$G29=""),"",'Dish Costing'!G29)</f>
        <v/>
      </c>
      <c r="D29" s="13" t="str">
        <f aca="false">IF(OR('Dish Costing'!$A29="",'Dish Costing'!$G29=""),"",Settings!$B$10)</f>
        <v/>
      </c>
      <c r="E29" s="14" t="str">
        <f aca="false">IF(OR('Dish Costing'!$A29="",'Dish Costing'!$G29=""),"",Settings!$B$9)</f>
        <v/>
      </c>
      <c r="F29" s="9" t="str">
        <f aca="false">IF(OR('Dish Costing'!$A29="",'Dish Costing'!$G29=""),"",(C29+D29)/(1-E29))</f>
        <v/>
      </c>
      <c r="G29" s="9" t="str">
        <f aca="false">IF(OR('Dish Costing'!$A29="",'Dish Costing'!$G29=""),"",F29*(1+Settings!$B$5))</f>
        <v/>
      </c>
      <c r="H29" s="9" t="str">
        <f aca="false">IF(OR('Dish Costing'!$A29="",'Dish Costing'!$G29=""),"",F29*(1-E29))</f>
        <v/>
      </c>
      <c r="I29" s="9" t="str">
        <f aca="false">IF(OR('Dish Costing'!$A29="",'Dish Costing'!$G29=""),"",H29-D29-B29)</f>
        <v/>
      </c>
      <c r="J29" s="10" t="str">
        <f aca="false">IF(OR('Dish Costing'!$A29="",'Dish Costing'!$G29=""),"",IF(H29=0,0,I29/H29))</f>
        <v/>
      </c>
      <c r="K29" s="9" t="str">
        <f aca="false">IF(OR('Dish Costing'!$A29="",'Dish Costing'!$G29=""),"",((B29+D29)/(1-'Dish Costing'!J29))/(1-E29))</f>
        <v/>
      </c>
      <c r="L29" s="9" t="str">
        <f aca="false">IF(OR('Dish Costing'!$A29="",'Dish Costing'!$G29=""),"",K29*(1+Settings!$B$5))</f>
        <v/>
      </c>
    </row>
    <row r="30" customFormat="false" ht="15" hidden="false" customHeight="false" outlineLevel="0" collapsed="false">
      <c r="A30" s="12" t="str">
        <f aca="false">IF('Dish Costing'!A30="","",'Dish Costing'!A30)</f>
        <v/>
      </c>
      <c r="B30" s="13" t="str">
        <f aca="false">IF(OR('Dish Costing'!$A30="",'Dish Costing'!$G30=""),"",'Dish Costing'!E30)</f>
        <v/>
      </c>
      <c r="C30" s="13" t="str">
        <f aca="false">IF(OR('Dish Costing'!$A30="",'Dish Costing'!$G30=""),"",'Dish Costing'!G30)</f>
        <v/>
      </c>
      <c r="D30" s="13" t="str">
        <f aca="false">IF(OR('Dish Costing'!$A30="",'Dish Costing'!$G30=""),"",Settings!$B$10)</f>
        <v/>
      </c>
      <c r="E30" s="14" t="str">
        <f aca="false">IF(OR('Dish Costing'!$A30="",'Dish Costing'!$G30=""),"",Settings!$B$9)</f>
        <v/>
      </c>
      <c r="F30" s="9" t="str">
        <f aca="false">IF(OR('Dish Costing'!$A30="",'Dish Costing'!$G30=""),"",(C30+D30)/(1-E30))</f>
        <v/>
      </c>
      <c r="G30" s="9" t="str">
        <f aca="false">IF(OR('Dish Costing'!$A30="",'Dish Costing'!$G30=""),"",F30*(1+Settings!$B$5))</f>
        <v/>
      </c>
      <c r="H30" s="9" t="str">
        <f aca="false">IF(OR('Dish Costing'!$A30="",'Dish Costing'!$G30=""),"",F30*(1-E30))</f>
        <v/>
      </c>
      <c r="I30" s="9" t="str">
        <f aca="false">IF(OR('Dish Costing'!$A30="",'Dish Costing'!$G30=""),"",H30-D30-B30)</f>
        <v/>
      </c>
      <c r="J30" s="10" t="str">
        <f aca="false">IF(OR('Dish Costing'!$A30="",'Dish Costing'!$G30=""),"",IF(H30=0,0,I30/H30))</f>
        <v/>
      </c>
      <c r="K30" s="9" t="str">
        <f aca="false">IF(OR('Dish Costing'!$A30="",'Dish Costing'!$G30=""),"",((B30+D30)/(1-'Dish Costing'!J30))/(1-E30))</f>
        <v/>
      </c>
      <c r="L30" s="9" t="str">
        <f aca="false">IF(OR('Dish Costing'!$A30="",'Dish Costing'!$G30=""),"",K30*(1+Settings!$B$5))</f>
        <v/>
      </c>
    </row>
    <row r="31" customFormat="false" ht="15" hidden="false" customHeight="false" outlineLevel="0" collapsed="false">
      <c r="A31" s="12" t="str">
        <f aca="false">IF('Dish Costing'!A31="","",'Dish Costing'!A31)</f>
        <v/>
      </c>
      <c r="B31" s="13" t="str">
        <f aca="false">IF(OR('Dish Costing'!$A31="",'Dish Costing'!$G31=""),"",'Dish Costing'!E31)</f>
        <v/>
      </c>
      <c r="C31" s="13" t="str">
        <f aca="false">IF(OR('Dish Costing'!$A31="",'Dish Costing'!$G31=""),"",'Dish Costing'!G31)</f>
        <v/>
      </c>
      <c r="D31" s="13" t="str">
        <f aca="false">IF(OR('Dish Costing'!$A31="",'Dish Costing'!$G31=""),"",Settings!$B$10)</f>
        <v/>
      </c>
      <c r="E31" s="14" t="str">
        <f aca="false">IF(OR('Dish Costing'!$A31="",'Dish Costing'!$G31=""),"",Settings!$B$9)</f>
        <v/>
      </c>
      <c r="F31" s="9" t="str">
        <f aca="false">IF(OR('Dish Costing'!$A31="",'Dish Costing'!$G31=""),"",(C31+D31)/(1-E31))</f>
        <v/>
      </c>
      <c r="G31" s="9" t="str">
        <f aca="false">IF(OR('Dish Costing'!$A31="",'Dish Costing'!$G31=""),"",F31*(1+Settings!$B$5))</f>
        <v/>
      </c>
      <c r="H31" s="9" t="str">
        <f aca="false">IF(OR('Dish Costing'!$A31="",'Dish Costing'!$G31=""),"",F31*(1-E31))</f>
        <v/>
      </c>
      <c r="I31" s="9" t="str">
        <f aca="false">IF(OR('Dish Costing'!$A31="",'Dish Costing'!$G31=""),"",H31-D31-B31)</f>
        <v/>
      </c>
      <c r="J31" s="10" t="str">
        <f aca="false">IF(OR('Dish Costing'!$A31="",'Dish Costing'!$G31=""),"",IF(H31=0,0,I31/H31))</f>
        <v/>
      </c>
      <c r="K31" s="9" t="str">
        <f aca="false">IF(OR('Dish Costing'!$A31="",'Dish Costing'!$G31=""),"",((B31+D31)/(1-'Dish Costing'!J31))/(1-E31))</f>
        <v/>
      </c>
      <c r="L31" s="9" t="str">
        <f aca="false">IF(OR('Dish Costing'!$A31="",'Dish Costing'!$G31=""),"",K31*(1+Settings!$B$5))</f>
        <v/>
      </c>
    </row>
    <row r="32" customFormat="false" ht="15" hidden="false" customHeight="false" outlineLevel="0" collapsed="false">
      <c r="A32" s="12" t="str">
        <f aca="false">IF('Dish Costing'!A32="","",'Dish Costing'!A32)</f>
        <v/>
      </c>
      <c r="B32" s="13" t="str">
        <f aca="false">IF(OR('Dish Costing'!$A32="",'Dish Costing'!$G32=""),"",'Dish Costing'!E32)</f>
        <v/>
      </c>
      <c r="C32" s="13" t="str">
        <f aca="false">IF(OR('Dish Costing'!$A32="",'Dish Costing'!$G32=""),"",'Dish Costing'!G32)</f>
        <v/>
      </c>
      <c r="D32" s="13" t="str">
        <f aca="false">IF(OR('Dish Costing'!$A32="",'Dish Costing'!$G32=""),"",Settings!$B$10)</f>
        <v/>
      </c>
      <c r="E32" s="14" t="str">
        <f aca="false">IF(OR('Dish Costing'!$A32="",'Dish Costing'!$G32=""),"",Settings!$B$9)</f>
        <v/>
      </c>
      <c r="F32" s="9" t="str">
        <f aca="false">IF(OR('Dish Costing'!$A32="",'Dish Costing'!$G32=""),"",(C32+D32)/(1-E32))</f>
        <v/>
      </c>
      <c r="G32" s="9" t="str">
        <f aca="false">IF(OR('Dish Costing'!$A32="",'Dish Costing'!$G32=""),"",F32*(1+Settings!$B$5))</f>
        <v/>
      </c>
      <c r="H32" s="9" t="str">
        <f aca="false">IF(OR('Dish Costing'!$A32="",'Dish Costing'!$G32=""),"",F32*(1-E32))</f>
        <v/>
      </c>
      <c r="I32" s="9" t="str">
        <f aca="false">IF(OR('Dish Costing'!$A32="",'Dish Costing'!$G32=""),"",H32-D32-B32)</f>
        <v/>
      </c>
      <c r="J32" s="10" t="str">
        <f aca="false">IF(OR('Dish Costing'!$A32="",'Dish Costing'!$G32=""),"",IF(H32=0,0,I32/H32))</f>
        <v/>
      </c>
      <c r="K32" s="9" t="str">
        <f aca="false">IF(OR('Dish Costing'!$A32="",'Dish Costing'!$G32=""),"",((B32+D32)/(1-'Dish Costing'!J32))/(1-E32))</f>
        <v/>
      </c>
      <c r="L32" s="9" t="str">
        <f aca="false">IF(OR('Dish Costing'!$A32="",'Dish Costing'!$G32=""),"",K32*(1+Settings!$B$5))</f>
        <v/>
      </c>
    </row>
    <row r="33" customFormat="false" ht="15" hidden="false" customHeight="false" outlineLevel="0" collapsed="false">
      <c r="A33" s="12" t="str">
        <f aca="false">IF('Dish Costing'!A33="","",'Dish Costing'!A33)</f>
        <v/>
      </c>
      <c r="B33" s="13" t="str">
        <f aca="false">IF(OR('Dish Costing'!$A33="",'Dish Costing'!$G33=""),"",'Dish Costing'!E33)</f>
        <v/>
      </c>
      <c r="C33" s="13" t="str">
        <f aca="false">IF(OR('Dish Costing'!$A33="",'Dish Costing'!$G33=""),"",'Dish Costing'!G33)</f>
        <v/>
      </c>
      <c r="D33" s="13" t="str">
        <f aca="false">IF(OR('Dish Costing'!$A33="",'Dish Costing'!$G33=""),"",Settings!$B$10)</f>
        <v/>
      </c>
      <c r="E33" s="14" t="str">
        <f aca="false">IF(OR('Dish Costing'!$A33="",'Dish Costing'!$G33=""),"",Settings!$B$9)</f>
        <v/>
      </c>
      <c r="F33" s="9" t="str">
        <f aca="false">IF(OR('Dish Costing'!$A33="",'Dish Costing'!$G33=""),"",(C33+D33)/(1-E33))</f>
        <v/>
      </c>
      <c r="G33" s="9" t="str">
        <f aca="false">IF(OR('Dish Costing'!$A33="",'Dish Costing'!$G33=""),"",F33*(1+Settings!$B$5))</f>
        <v/>
      </c>
      <c r="H33" s="9" t="str">
        <f aca="false">IF(OR('Dish Costing'!$A33="",'Dish Costing'!$G33=""),"",F33*(1-E33))</f>
        <v/>
      </c>
      <c r="I33" s="9" t="str">
        <f aca="false">IF(OR('Dish Costing'!$A33="",'Dish Costing'!$G33=""),"",H33-D33-B33)</f>
        <v/>
      </c>
      <c r="J33" s="10" t="str">
        <f aca="false">IF(OR('Dish Costing'!$A33="",'Dish Costing'!$G33=""),"",IF(H33=0,0,I33/H33))</f>
        <v/>
      </c>
      <c r="K33" s="9" t="str">
        <f aca="false">IF(OR('Dish Costing'!$A33="",'Dish Costing'!$G33=""),"",((B33+D33)/(1-'Dish Costing'!J33))/(1-E33))</f>
        <v/>
      </c>
      <c r="L33" s="9" t="str">
        <f aca="false">IF(OR('Dish Costing'!$A33="",'Dish Costing'!$G33=""),"",K33*(1+Settings!$B$5))</f>
        <v/>
      </c>
    </row>
    <row r="34" customFormat="false" ht="15" hidden="false" customHeight="false" outlineLevel="0" collapsed="false">
      <c r="A34" s="12" t="str">
        <f aca="false">IF('Dish Costing'!A34="","",'Dish Costing'!A34)</f>
        <v/>
      </c>
      <c r="B34" s="13" t="str">
        <f aca="false">IF(OR('Dish Costing'!$A34="",'Dish Costing'!$G34=""),"",'Dish Costing'!E34)</f>
        <v/>
      </c>
      <c r="C34" s="13" t="str">
        <f aca="false">IF(OR('Dish Costing'!$A34="",'Dish Costing'!$G34=""),"",'Dish Costing'!G34)</f>
        <v/>
      </c>
      <c r="D34" s="13" t="str">
        <f aca="false">IF(OR('Dish Costing'!$A34="",'Dish Costing'!$G34=""),"",Settings!$B$10)</f>
        <v/>
      </c>
      <c r="E34" s="14" t="str">
        <f aca="false">IF(OR('Dish Costing'!$A34="",'Dish Costing'!$G34=""),"",Settings!$B$9)</f>
        <v/>
      </c>
      <c r="F34" s="9" t="str">
        <f aca="false">IF(OR('Dish Costing'!$A34="",'Dish Costing'!$G34=""),"",(C34+D34)/(1-E34))</f>
        <v/>
      </c>
      <c r="G34" s="9" t="str">
        <f aca="false">IF(OR('Dish Costing'!$A34="",'Dish Costing'!$G34=""),"",F34*(1+Settings!$B$5))</f>
        <v/>
      </c>
      <c r="H34" s="9" t="str">
        <f aca="false">IF(OR('Dish Costing'!$A34="",'Dish Costing'!$G34=""),"",F34*(1-E34))</f>
        <v/>
      </c>
      <c r="I34" s="9" t="str">
        <f aca="false">IF(OR('Dish Costing'!$A34="",'Dish Costing'!$G34=""),"",H34-D34-B34)</f>
        <v/>
      </c>
      <c r="J34" s="10" t="str">
        <f aca="false">IF(OR('Dish Costing'!$A34="",'Dish Costing'!$G34=""),"",IF(H34=0,0,I34/H34))</f>
        <v/>
      </c>
      <c r="K34" s="9" t="str">
        <f aca="false">IF(OR('Dish Costing'!$A34="",'Dish Costing'!$G34=""),"",((B34+D34)/(1-'Dish Costing'!J34))/(1-E34))</f>
        <v/>
      </c>
      <c r="L34" s="9" t="str">
        <f aca="false">IF(OR('Dish Costing'!$A34="",'Dish Costing'!$G34=""),"",K34*(1+Settings!$B$5))</f>
        <v/>
      </c>
    </row>
    <row r="35" customFormat="false" ht="15" hidden="false" customHeight="false" outlineLevel="0" collapsed="false">
      <c r="A35" s="12" t="str">
        <f aca="false">IF('Dish Costing'!A35="","",'Dish Costing'!A35)</f>
        <v/>
      </c>
      <c r="B35" s="13" t="str">
        <f aca="false">IF(OR('Dish Costing'!$A35="",'Dish Costing'!$G35=""),"",'Dish Costing'!E35)</f>
        <v/>
      </c>
      <c r="C35" s="13" t="str">
        <f aca="false">IF(OR('Dish Costing'!$A35="",'Dish Costing'!$G35=""),"",'Dish Costing'!G35)</f>
        <v/>
      </c>
      <c r="D35" s="13" t="str">
        <f aca="false">IF(OR('Dish Costing'!$A35="",'Dish Costing'!$G35=""),"",Settings!$B$10)</f>
        <v/>
      </c>
      <c r="E35" s="14" t="str">
        <f aca="false">IF(OR('Dish Costing'!$A35="",'Dish Costing'!$G35=""),"",Settings!$B$9)</f>
        <v/>
      </c>
      <c r="F35" s="9" t="str">
        <f aca="false">IF(OR('Dish Costing'!$A35="",'Dish Costing'!$G35=""),"",(C35+D35)/(1-E35))</f>
        <v/>
      </c>
      <c r="G35" s="9" t="str">
        <f aca="false">IF(OR('Dish Costing'!$A35="",'Dish Costing'!$G35=""),"",F35*(1+Settings!$B$5))</f>
        <v/>
      </c>
      <c r="H35" s="9" t="str">
        <f aca="false">IF(OR('Dish Costing'!$A35="",'Dish Costing'!$G35=""),"",F35*(1-E35))</f>
        <v/>
      </c>
      <c r="I35" s="9" t="str">
        <f aca="false">IF(OR('Dish Costing'!$A35="",'Dish Costing'!$G35=""),"",H35-D35-B35)</f>
        <v/>
      </c>
      <c r="J35" s="10" t="str">
        <f aca="false">IF(OR('Dish Costing'!$A35="",'Dish Costing'!$G35=""),"",IF(H35=0,0,I35/H35))</f>
        <v/>
      </c>
      <c r="K35" s="9" t="str">
        <f aca="false">IF(OR('Dish Costing'!$A35="",'Dish Costing'!$G35=""),"",((B35+D35)/(1-'Dish Costing'!J35))/(1-E35))</f>
        <v/>
      </c>
      <c r="L35" s="9" t="str">
        <f aca="false">IF(OR('Dish Costing'!$A35="",'Dish Costing'!$G35=""),"",K35*(1+Settings!$B$5))</f>
        <v/>
      </c>
    </row>
    <row r="36" customFormat="false" ht="15" hidden="false" customHeight="false" outlineLevel="0" collapsed="false">
      <c r="A36" s="12" t="str">
        <f aca="false">IF('Dish Costing'!A36="","",'Dish Costing'!A36)</f>
        <v/>
      </c>
      <c r="B36" s="13" t="str">
        <f aca="false">IF(OR('Dish Costing'!$A36="",'Dish Costing'!$G36=""),"",'Dish Costing'!E36)</f>
        <v/>
      </c>
      <c r="C36" s="13" t="str">
        <f aca="false">IF(OR('Dish Costing'!$A36="",'Dish Costing'!$G36=""),"",'Dish Costing'!G36)</f>
        <v/>
      </c>
      <c r="D36" s="13" t="str">
        <f aca="false">IF(OR('Dish Costing'!$A36="",'Dish Costing'!$G36=""),"",Settings!$B$10)</f>
        <v/>
      </c>
      <c r="E36" s="14" t="str">
        <f aca="false">IF(OR('Dish Costing'!$A36="",'Dish Costing'!$G36=""),"",Settings!$B$9)</f>
        <v/>
      </c>
      <c r="F36" s="9" t="str">
        <f aca="false">IF(OR('Dish Costing'!$A36="",'Dish Costing'!$G36=""),"",(C36+D36)/(1-E36))</f>
        <v/>
      </c>
      <c r="G36" s="9" t="str">
        <f aca="false">IF(OR('Dish Costing'!$A36="",'Dish Costing'!$G36=""),"",F36*(1+Settings!$B$5))</f>
        <v/>
      </c>
      <c r="H36" s="9" t="str">
        <f aca="false">IF(OR('Dish Costing'!$A36="",'Dish Costing'!$G36=""),"",F36*(1-E36))</f>
        <v/>
      </c>
      <c r="I36" s="9" t="str">
        <f aca="false">IF(OR('Dish Costing'!$A36="",'Dish Costing'!$G36=""),"",H36-D36-B36)</f>
        <v/>
      </c>
      <c r="J36" s="10" t="str">
        <f aca="false">IF(OR('Dish Costing'!$A36="",'Dish Costing'!$G36=""),"",IF(H36=0,0,I36/H36))</f>
        <v/>
      </c>
      <c r="K36" s="9" t="str">
        <f aca="false">IF(OR('Dish Costing'!$A36="",'Dish Costing'!$G36=""),"",((B36+D36)/(1-'Dish Costing'!J36))/(1-E36))</f>
        <v/>
      </c>
      <c r="L36" s="9" t="str">
        <f aca="false">IF(OR('Dish Costing'!$A36="",'Dish Costing'!$G36=""),"",K36*(1+Settings!$B$5))</f>
        <v/>
      </c>
    </row>
    <row r="37" customFormat="false" ht="15" hidden="false" customHeight="false" outlineLevel="0" collapsed="false">
      <c r="A37" s="12" t="str">
        <f aca="false">IF('Dish Costing'!A37="","",'Dish Costing'!A37)</f>
        <v/>
      </c>
      <c r="B37" s="13" t="str">
        <f aca="false">IF(OR('Dish Costing'!$A37="",'Dish Costing'!$G37=""),"",'Dish Costing'!E37)</f>
        <v/>
      </c>
      <c r="C37" s="13" t="str">
        <f aca="false">IF(OR('Dish Costing'!$A37="",'Dish Costing'!$G37=""),"",'Dish Costing'!G37)</f>
        <v/>
      </c>
      <c r="D37" s="13" t="str">
        <f aca="false">IF(OR('Dish Costing'!$A37="",'Dish Costing'!$G37=""),"",Settings!$B$10)</f>
        <v/>
      </c>
      <c r="E37" s="14" t="str">
        <f aca="false">IF(OR('Dish Costing'!$A37="",'Dish Costing'!$G37=""),"",Settings!$B$9)</f>
        <v/>
      </c>
      <c r="F37" s="9" t="str">
        <f aca="false">IF(OR('Dish Costing'!$A37="",'Dish Costing'!$G37=""),"",(C37+D37)/(1-E37))</f>
        <v/>
      </c>
      <c r="G37" s="9" t="str">
        <f aca="false">IF(OR('Dish Costing'!$A37="",'Dish Costing'!$G37=""),"",F37*(1+Settings!$B$5))</f>
        <v/>
      </c>
      <c r="H37" s="9" t="str">
        <f aca="false">IF(OR('Dish Costing'!$A37="",'Dish Costing'!$G37=""),"",F37*(1-E37))</f>
        <v/>
      </c>
      <c r="I37" s="9" t="str">
        <f aca="false">IF(OR('Dish Costing'!$A37="",'Dish Costing'!$G37=""),"",H37-D37-B37)</f>
        <v/>
      </c>
      <c r="J37" s="10" t="str">
        <f aca="false">IF(OR('Dish Costing'!$A37="",'Dish Costing'!$G37=""),"",IF(H37=0,0,I37/H37))</f>
        <v/>
      </c>
      <c r="K37" s="9" t="str">
        <f aca="false">IF(OR('Dish Costing'!$A37="",'Dish Costing'!$G37=""),"",((B37+D37)/(1-'Dish Costing'!J37))/(1-E37))</f>
        <v/>
      </c>
      <c r="L37" s="9" t="str">
        <f aca="false">IF(OR('Dish Costing'!$A37="",'Dish Costing'!$G37=""),"",K37*(1+Settings!$B$5))</f>
        <v/>
      </c>
    </row>
    <row r="38" customFormat="false" ht="15" hidden="false" customHeight="false" outlineLevel="0" collapsed="false">
      <c r="A38" s="12" t="str">
        <f aca="false">IF('Dish Costing'!A38="","",'Dish Costing'!A38)</f>
        <v/>
      </c>
      <c r="B38" s="13" t="str">
        <f aca="false">IF(OR('Dish Costing'!$A38="",'Dish Costing'!$G38=""),"",'Dish Costing'!E38)</f>
        <v/>
      </c>
      <c r="C38" s="13" t="str">
        <f aca="false">IF(OR('Dish Costing'!$A38="",'Dish Costing'!$G38=""),"",'Dish Costing'!G38)</f>
        <v/>
      </c>
      <c r="D38" s="13" t="str">
        <f aca="false">IF(OR('Dish Costing'!$A38="",'Dish Costing'!$G38=""),"",Settings!$B$10)</f>
        <v/>
      </c>
      <c r="E38" s="14" t="str">
        <f aca="false">IF(OR('Dish Costing'!$A38="",'Dish Costing'!$G38=""),"",Settings!$B$9)</f>
        <v/>
      </c>
      <c r="F38" s="9" t="str">
        <f aca="false">IF(OR('Dish Costing'!$A38="",'Dish Costing'!$G38=""),"",(C38+D38)/(1-E38))</f>
        <v/>
      </c>
      <c r="G38" s="9" t="str">
        <f aca="false">IF(OR('Dish Costing'!$A38="",'Dish Costing'!$G38=""),"",F38*(1+Settings!$B$5))</f>
        <v/>
      </c>
      <c r="H38" s="9" t="str">
        <f aca="false">IF(OR('Dish Costing'!$A38="",'Dish Costing'!$G38=""),"",F38*(1-E38))</f>
        <v/>
      </c>
      <c r="I38" s="9" t="str">
        <f aca="false">IF(OR('Dish Costing'!$A38="",'Dish Costing'!$G38=""),"",H38-D38-B38)</f>
        <v/>
      </c>
      <c r="J38" s="10" t="str">
        <f aca="false">IF(OR('Dish Costing'!$A38="",'Dish Costing'!$G38=""),"",IF(H38=0,0,I38/H38))</f>
        <v/>
      </c>
      <c r="K38" s="9" t="str">
        <f aca="false">IF(OR('Dish Costing'!$A38="",'Dish Costing'!$G38=""),"",((B38+D38)/(1-'Dish Costing'!J38))/(1-E38))</f>
        <v/>
      </c>
      <c r="L38" s="9" t="str">
        <f aca="false">IF(OR('Dish Costing'!$A38="",'Dish Costing'!$G38=""),"",K38*(1+Settings!$B$5))</f>
        <v/>
      </c>
    </row>
    <row r="39" customFormat="false" ht="15" hidden="false" customHeight="false" outlineLevel="0" collapsed="false">
      <c r="A39" s="12" t="str">
        <f aca="false">IF('Dish Costing'!A39="","",'Dish Costing'!A39)</f>
        <v/>
      </c>
      <c r="B39" s="13" t="str">
        <f aca="false">IF(OR('Dish Costing'!$A39="",'Dish Costing'!$G39=""),"",'Dish Costing'!E39)</f>
        <v/>
      </c>
      <c r="C39" s="13" t="str">
        <f aca="false">IF(OR('Dish Costing'!$A39="",'Dish Costing'!$G39=""),"",'Dish Costing'!G39)</f>
        <v/>
      </c>
      <c r="D39" s="13" t="str">
        <f aca="false">IF(OR('Dish Costing'!$A39="",'Dish Costing'!$G39=""),"",Settings!$B$10)</f>
        <v/>
      </c>
      <c r="E39" s="14" t="str">
        <f aca="false">IF(OR('Dish Costing'!$A39="",'Dish Costing'!$G39=""),"",Settings!$B$9)</f>
        <v/>
      </c>
      <c r="F39" s="9" t="str">
        <f aca="false">IF(OR('Dish Costing'!$A39="",'Dish Costing'!$G39=""),"",(C39+D39)/(1-E39))</f>
        <v/>
      </c>
      <c r="G39" s="9" t="str">
        <f aca="false">IF(OR('Dish Costing'!$A39="",'Dish Costing'!$G39=""),"",F39*(1+Settings!$B$5))</f>
        <v/>
      </c>
      <c r="H39" s="9" t="str">
        <f aca="false">IF(OR('Dish Costing'!$A39="",'Dish Costing'!$G39=""),"",F39*(1-E39))</f>
        <v/>
      </c>
      <c r="I39" s="9" t="str">
        <f aca="false">IF(OR('Dish Costing'!$A39="",'Dish Costing'!$G39=""),"",H39-D39-B39)</f>
        <v/>
      </c>
      <c r="J39" s="10" t="str">
        <f aca="false">IF(OR('Dish Costing'!$A39="",'Dish Costing'!$G39=""),"",IF(H39=0,0,I39/H39))</f>
        <v/>
      </c>
      <c r="K39" s="9" t="str">
        <f aca="false">IF(OR('Dish Costing'!$A39="",'Dish Costing'!$G39=""),"",((B39+D39)/(1-'Dish Costing'!J39))/(1-E39))</f>
        <v/>
      </c>
      <c r="L39" s="9" t="str">
        <f aca="false">IF(OR('Dish Costing'!$A39="",'Dish Costing'!$G39=""),"",K39*(1+Settings!$B$5))</f>
        <v/>
      </c>
    </row>
    <row r="40" customFormat="false" ht="15" hidden="false" customHeight="false" outlineLevel="0" collapsed="false">
      <c r="A40" s="12" t="str">
        <f aca="false">IF('Dish Costing'!A40="","",'Dish Costing'!A40)</f>
        <v/>
      </c>
      <c r="B40" s="13" t="str">
        <f aca="false">IF(OR('Dish Costing'!$A40="",'Dish Costing'!$G40=""),"",'Dish Costing'!E40)</f>
        <v/>
      </c>
      <c r="C40" s="13" t="str">
        <f aca="false">IF(OR('Dish Costing'!$A40="",'Dish Costing'!$G40=""),"",'Dish Costing'!G40)</f>
        <v/>
      </c>
      <c r="D40" s="13" t="str">
        <f aca="false">IF(OR('Dish Costing'!$A40="",'Dish Costing'!$G40=""),"",Settings!$B$10)</f>
        <v/>
      </c>
      <c r="E40" s="14" t="str">
        <f aca="false">IF(OR('Dish Costing'!$A40="",'Dish Costing'!$G40=""),"",Settings!$B$9)</f>
        <v/>
      </c>
      <c r="F40" s="9" t="str">
        <f aca="false">IF(OR('Dish Costing'!$A40="",'Dish Costing'!$G40=""),"",(C40+D40)/(1-E40))</f>
        <v/>
      </c>
      <c r="G40" s="9" t="str">
        <f aca="false">IF(OR('Dish Costing'!$A40="",'Dish Costing'!$G40=""),"",F40*(1+Settings!$B$5))</f>
        <v/>
      </c>
      <c r="H40" s="9" t="str">
        <f aca="false">IF(OR('Dish Costing'!$A40="",'Dish Costing'!$G40=""),"",F40*(1-E40))</f>
        <v/>
      </c>
      <c r="I40" s="9" t="str">
        <f aca="false">IF(OR('Dish Costing'!$A40="",'Dish Costing'!$G40=""),"",H40-D40-B40)</f>
        <v/>
      </c>
      <c r="J40" s="10" t="str">
        <f aca="false">IF(OR('Dish Costing'!$A40="",'Dish Costing'!$G40=""),"",IF(H40=0,0,I40/H40))</f>
        <v/>
      </c>
      <c r="K40" s="9" t="str">
        <f aca="false">IF(OR('Dish Costing'!$A40="",'Dish Costing'!$G40=""),"",((B40+D40)/(1-'Dish Costing'!J40))/(1-E40))</f>
        <v/>
      </c>
      <c r="L40" s="9" t="str">
        <f aca="false">IF(OR('Dish Costing'!$A40="",'Dish Costing'!$G40=""),"",K40*(1+Settings!$B$5))</f>
        <v/>
      </c>
    </row>
    <row r="41" customFormat="false" ht="15" hidden="false" customHeight="false" outlineLevel="0" collapsed="false">
      <c r="A41" s="12" t="str">
        <f aca="false">IF('Dish Costing'!A41="","",'Dish Costing'!A41)</f>
        <v/>
      </c>
      <c r="B41" s="13" t="str">
        <f aca="false">IF(OR('Dish Costing'!$A41="",'Dish Costing'!$G41=""),"",'Dish Costing'!E41)</f>
        <v/>
      </c>
      <c r="C41" s="13" t="str">
        <f aca="false">IF(OR('Dish Costing'!$A41="",'Dish Costing'!$G41=""),"",'Dish Costing'!G41)</f>
        <v/>
      </c>
      <c r="D41" s="13" t="str">
        <f aca="false">IF(OR('Dish Costing'!$A41="",'Dish Costing'!$G41=""),"",Settings!$B$10)</f>
        <v/>
      </c>
      <c r="E41" s="14" t="str">
        <f aca="false">IF(OR('Dish Costing'!$A41="",'Dish Costing'!$G41=""),"",Settings!$B$9)</f>
        <v/>
      </c>
      <c r="F41" s="9" t="str">
        <f aca="false">IF(OR('Dish Costing'!$A41="",'Dish Costing'!$G41=""),"",(C41+D41)/(1-E41))</f>
        <v/>
      </c>
      <c r="G41" s="9" t="str">
        <f aca="false">IF(OR('Dish Costing'!$A41="",'Dish Costing'!$G41=""),"",F41*(1+Settings!$B$5))</f>
        <v/>
      </c>
      <c r="H41" s="9" t="str">
        <f aca="false">IF(OR('Dish Costing'!$A41="",'Dish Costing'!$G41=""),"",F41*(1-E41))</f>
        <v/>
      </c>
      <c r="I41" s="9" t="str">
        <f aca="false">IF(OR('Dish Costing'!$A41="",'Dish Costing'!$G41=""),"",H41-D41-B41)</f>
        <v/>
      </c>
      <c r="J41" s="10" t="str">
        <f aca="false">IF(OR('Dish Costing'!$A41="",'Dish Costing'!$G41=""),"",IF(H41=0,0,I41/H41))</f>
        <v/>
      </c>
      <c r="K41" s="9" t="str">
        <f aca="false">IF(OR('Dish Costing'!$A41="",'Dish Costing'!$G41=""),"",((B41+D41)/(1-'Dish Costing'!J41))/(1-E41))</f>
        <v/>
      </c>
      <c r="L41" s="9" t="str">
        <f aca="false">IF(OR('Dish Costing'!$A41="",'Dish Costing'!$G41=""),"",K41*(1+Settings!$B$5))</f>
        <v/>
      </c>
    </row>
    <row r="42" customFormat="false" ht="15" hidden="false" customHeight="false" outlineLevel="0" collapsed="false">
      <c r="A42" s="12" t="str">
        <f aca="false">IF('Dish Costing'!A42="","",'Dish Costing'!A42)</f>
        <v/>
      </c>
      <c r="B42" s="13" t="str">
        <f aca="false">IF(OR('Dish Costing'!$A42="",'Dish Costing'!$G42=""),"",'Dish Costing'!E42)</f>
        <v/>
      </c>
      <c r="C42" s="13" t="str">
        <f aca="false">IF(OR('Dish Costing'!$A42="",'Dish Costing'!$G42=""),"",'Dish Costing'!G42)</f>
        <v/>
      </c>
      <c r="D42" s="13" t="str">
        <f aca="false">IF(OR('Dish Costing'!$A42="",'Dish Costing'!$G42=""),"",Settings!$B$10)</f>
        <v/>
      </c>
      <c r="E42" s="14" t="str">
        <f aca="false">IF(OR('Dish Costing'!$A42="",'Dish Costing'!$G42=""),"",Settings!$B$9)</f>
        <v/>
      </c>
      <c r="F42" s="9" t="str">
        <f aca="false">IF(OR('Dish Costing'!$A42="",'Dish Costing'!$G42=""),"",(C42+D42)/(1-E42))</f>
        <v/>
      </c>
      <c r="G42" s="9" t="str">
        <f aca="false">IF(OR('Dish Costing'!$A42="",'Dish Costing'!$G42=""),"",F42*(1+Settings!$B$5))</f>
        <v/>
      </c>
      <c r="H42" s="9" t="str">
        <f aca="false">IF(OR('Dish Costing'!$A42="",'Dish Costing'!$G42=""),"",F42*(1-E42))</f>
        <v/>
      </c>
      <c r="I42" s="9" t="str">
        <f aca="false">IF(OR('Dish Costing'!$A42="",'Dish Costing'!$G42=""),"",H42-D42-B42)</f>
        <v/>
      </c>
      <c r="J42" s="10" t="str">
        <f aca="false">IF(OR('Dish Costing'!$A42="",'Dish Costing'!$G42=""),"",IF(H42=0,0,I42/H42))</f>
        <v/>
      </c>
      <c r="K42" s="9" t="str">
        <f aca="false">IF(OR('Dish Costing'!$A42="",'Dish Costing'!$G42=""),"",((B42+D42)/(1-'Dish Costing'!J42))/(1-E42))</f>
        <v/>
      </c>
      <c r="L42" s="9" t="str">
        <f aca="false">IF(OR('Dish Costing'!$A42="",'Dish Costing'!$G42=""),"",K42*(1+Settings!$B$5))</f>
        <v/>
      </c>
    </row>
    <row r="43" customFormat="false" ht="15" hidden="false" customHeight="false" outlineLevel="0" collapsed="false">
      <c r="A43" s="12" t="str">
        <f aca="false">IF('Dish Costing'!A43="","",'Dish Costing'!A43)</f>
        <v/>
      </c>
      <c r="B43" s="13" t="str">
        <f aca="false">IF(OR('Dish Costing'!$A43="",'Dish Costing'!$G43=""),"",'Dish Costing'!E43)</f>
        <v/>
      </c>
      <c r="C43" s="13" t="str">
        <f aca="false">IF(OR('Dish Costing'!$A43="",'Dish Costing'!$G43=""),"",'Dish Costing'!G43)</f>
        <v/>
      </c>
      <c r="D43" s="13" t="str">
        <f aca="false">IF(OR('Dish Costing'!$A43="",'Dish Costing'!$G43=""),"",Settings!$B$10)</f>
        <v/>
      </c>
      <c r="E43" s="14" t="str">
        <f aca="false">IF(OR('Dish Costing'!$A43="",'Dish Costing'!$G43=""),"",Settings!$B$9)</f>
        <v/>
      </c>
      <c r="F43" s="9" t="str">
        <f aca="false">IF(OR('Dish Costing'!$A43="",'Dish Costing'!$G43=""),"",(C43+D43)/(1-E43))</f>
        <v/>
      </c>
      <c r="G43" s="9" t="str">
        <f aca="false">IF(OR('Dish Costing'!$A43="",'Dish Costing'!$G43=""),"",F43*(1+Settings!$B$5))</f>
        <v/>
      </c>
      <c r="H43" s="9" t="str">
        <f aca="false">IF(OR('Dish Costing'!$A43="",'Dish Costing'!$G43=""),"",F43*(1-E43))</f>
        <v/>
      </c>
      <c r="I43" s="9" t="str">
        <f aca="false">IF(OR('Dish Costing'!$A43="",'Dish Costing'!$G43=""),"",H43-D43-B43)</f>
        <v/>
      </c>
      <c r="J43" s="10" t="str">
        <f aca="false">IF(OR('Dish Costing'!$A43="",'Dish Costing'!$G43=""),"",IF(H43=0,0,I43/H43))</f>
        <v/>
      </c>
      <c r="K43" s="9" t="str">
        <f aca="false">IF(OR('Dish Costing'!$A43="",'Dish Costing'!$G43=""),"",((B43+D43)/(1-'Dish Costing'!J43))/(1-E43))</f>
        <v/>
      </c>
      <c r="L43" s="9" t="str">
        <f aca="false">IF(OR('Dish Costing'!$A43="",'Dish Costing'!$G43=""),"",K43*(1+Settings!$B$5))</f>
        <v/>
      </c>
    </row>
    <row r="44" customFormat="false" ht="15" hidden="false" customHeight="false" outlineLevel="0" collapsed="false">
      <c r="A44" s="12" t="str">
        <f aca="false">IF('Dish Costing'!A44="","",'Dish Costing'!A44)</f>
        <v/>
      </c>
      <c r="B44" s="13" t="str">
        <f aca="false">IF(OR('Dish Costing'!$A44="",'Dish Costing'!$G44=""),"",'Dish Costing'!E44)</f>
        <v/>
      </c>
      <c r="C44" s="13" t="str">
        <f aca="false">IF(OR('Dish Costing'!$A44="",'Dish Costing'!$G44=""),"",'Dish Costing'!G44)</f>
        <v/>
      </c>
      <c r="D44" s="13" t="str">
        <f aca="false">IF(OR('Dish Costing'!$A44="",'Dish Costing'!$G44=""),"",Settings!$B$10)</f>
        <v/>
      </c>
      <c r="E44" s="14" t="str">
        <f aca="false">IF(OR('Dish Costing'!$A44="",'Dish Costing'!$G44=""),"",Settings!$B$9)</f>
        <v/>
      </c>
      <c r="F44" s="9" t="str">
        <f aca="false">IF(OR('Dish Costing'!$A44="",'Dish Costing'!$G44=""),"",(C44+D44)/(1-E44))</f>
        <v/>
      </c>
      <c r="G44" s="9" t="str">
        <f aca="false">IF(OR('Dish Costing'!$A44="",'Dish Costing'!$G44=""),"",F44*(1+Settings!$B$5))</f>
        <v/>
      </c>
      <c r="H44" s="9" t="str">
        <f aca="false">IF(OR('Dish Costing'!$A44="",'Dish Costing'!$G44=""),"",F44*(1-E44))</f>
        <v/>
      </c>
      <c r="I44" s="9" t="str">
        <f aca="false">IF(OR('Dish Costing'!$A44="",'Dish Costing'!$G44=""),"",H44-D44-B44)</f>
        <v/>
      </c>
      <c r="J44" s="10" t="str">
        <f aca="false">IF(OR('Dish Costing'!$A44="",'Dish Costing'!$G44=""),"",IF(H44=0,0,I44/H44))</f>
        <v/>
      </c>
      <c r="K44" s="9" t="str">
        <f aca="false">IF(OR('Dish Costing'!$A44="",'Dish Costing'!$G44=""),"",((B44+D44)/(1-'Dish Costing'!J44))/(1-E44))</f>
        <v/>
      </c>
      <c r="L44" s="9" t="str">
        <f aca="false">IF(OR('Dish Costing'!$A44="",'Dish Costing'!$G44=""),"",K44*(1+Settings!$B$5))</f>
        <v/>
      </c>
    </row>
    <row r="45" customFormat="false" ht="15" hidden="false" customHeight="false" outlineLevel="0" collapsed="false">
      <c r="A45" s="12" t="str">
        <f aca="false">IF('Dish Costing'!A45="","",'Dish Costing'!A45)</f>
        <v/>
      </c>
      <c r="B45" s="13" t="str">
        <f aca="false">IF(OR('Dish Costing'!$A45="",'Dish Costing'!$G45=""),"",'Dish Costing'!E45)</f>
        <v/>
      </c>
      <c r="C45" s="13" t="str">
        <f aca="false">IF(OR('Dish Costing'!$A45="",'Dish Costing'!$G45=""),"",'Dish Costing'!G45)</f>
        <v/>
      </c>
      <c r="D45" s="13" t="str">
        <f aca="false">IF(OR('Dish Costing'!$A45="",'Dish Costing'!$G45=""),"",Settings!$B$10)</f>
        <v/>
      </c>
      <c r="E45" s="14" t="str">
        <f aca="false">IF(OR('Dish Costing'!$A45="",'Dish Costing'!$G45=""),"",Settings!$B$9)</f>
        <v/>
      </c>
      <c r="F45" s="9" t="str">
        <f aca="false">IF(OR('Dish Costing'!$A45="",'Dish Costing'!$G45=""),"",(C45+D45)/(1-E45))</f>
        <v/>
      </c>
      <c r="G45" s="9" t="str">
        <f aca="false">IF(OR('Dish Costing'!$A45="",'Dish Costing'!$G45=""),"",F45*(1+Settings!$B$5))</f>
        <v/>
      </c>
      <c r="H45" s="9" t="str">
        <f aca="false">IF(OR('Dish Costing'!$A45="",'Dish Costing'!$G45=""),"",F45*(1-E45))</f>
        <v/>
      </c>
      <c r="I45" s="9" t="str">
        <f aca="false">IF(OR('Dish Costing'!$A45="",'Dish Costing'!$G45=""),"",H45-D45-B45)</f>
        <v/>
      </c>
      <c r="J45" s="10" t="str">
        <f aca="false">IF(OR('Dish Costing'!$A45="",'Dish Costing'!$G45=""),"",IF(H45=0,0,I45/H45))</f>
        <v/>
      </c>
      <c r="K45" s="9" t="str">
        <f aca="false">IF(OR('Dish Costing'!$A45="",'Dish Costing'!$G45=""),"",((B45+D45)/(1-'Dish Costing'!J45))/(1-E45))</f>
        <v/>
      </c>
      <c r="L45" s="9" t="str">
        <f aca="false">IF(OR('Dish Costing'!$A45="",'Dish Costing'!$G45=""),"",K45*(1+Settings!$B$5))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2026-10-15T09:15:59Z</dcterms:created>
  <dc:creator>openpyxl</dc:creator>
  <dc:description/>
  <dc:language>en-US</dc:language>
  <cp:lastModifiedBy/>
  <dcterms:modified xsi:type="dcterms:W3CDTF">2026-10-15T09:15:59Z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